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FDF5E71A-331F-4F1F-BDA6-C27D56E8B6F9}" xr6:coauthVersionLast="47" xr6:coauthVersionMax="47" xr10:uidLastSave="{00000000-0000-0000-0000-000000000000}"/>
  <bookViews>
    <workbookView xWindow="-120" yWindow="-120" windowWidth="20730" windowHeight="11040" firstSheet="13" activeTab="21" xr2:uid="{00000000-000D-0000-FFFF-FFFF00000000}"/>
  </bookViews>
  <sheets>
    <sheet name="Defense &gt;" sheetId="23" r:id="rId1"/>
    <sheet name="Data Patterns" sheetId="1" r:id="rId2"/>
    <sheet name="MTAR Technologies Ltd." sheetId="2" r:id="rId3"/>
    <sheet name="Bharat Electronics Ltd (BEL)" sheetId="3" r:id="rId4"/>
    <sheet name="HAL" sheetId="4" r:id="rId5"/>
    <sheet name="FMCG &gt;" sheetId="24" r:id="rId6"/>
    <sheet name="HUL" sheetId="5" r:id="rId7"/>
    <sheet name="ITC" sheetId="6" r:id="rId8"/>
    <sheet name="NESTLE" sheetId="7" r:id="rId9"/>
    <sheet name="BRITTANIA" sheetId="8" r:id="rId10"/>
    <sheet name="GODREJ" sheetId="9" r:id="rId11"/>
    <sheet name="DABUR" sheetId="10" r:id="rId12"/>
    <sheet name="Banking" sheetId="22" r:id="rId13"/>
    <sheet name="SBI" sheetId="11" r:id="rId14"/>
    <sheet name="ICICI Bank" sheetId="12" r:id="rId15"/>
    <sheet name="Kotak" sheetId="13" r:id="rId16"/>
    <sheet name="HDFC" sheetId="14" r:id="rId17"/>
    <sheet name="Axis" sheetId="15" r:id="rId18"/>
    <sheet name="Bank of Baroda" sheetId="16" r:id="rId19"/>
    <sheet name="Oil And Gas &gt;" sheetId="21" r:id="rId20"/>
    <sheet name="Gail" sheetId="17" r:id="rId21"/>
    <sheet name="HPCL" sheetId="18" r:id="rId22"/>
    <sheet name="BPCL" sheetId="19" r:id="rId23"/>
    <sheet name="ONGC" sheetId="20" r:id="rId24"/>
  </sheets>
  <definedNames>
    <definedName name="HealthScor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9" i="12" l="1"/>
  <c r="H61" i="20"/>
  <c r="G61" i="20"/>
  <c r="H60" i="20"/>
  <c r="G60" i="20"/>
  <c r="H59" i="20"/>
  <c r="G59" i="20"/>
  <c r="J39" i="20"/>
  <c r="I39" i="20"/>
  <c r="H39" i="20"/>
  <c r="G39" i="20"/>
  <c r="F39" i="20"/>
  <c r="E39" i="20"/>
  <c r="J38" i="20"/>
  <c r="I38" i="20"/>
  <c r="H38" i="20"/>
  <c r="G38" i="20"/>
  <c r="F38" i="20"/>
  <c r="E38" i="20"/>
  <c r="N26" i="20"/>
  <c r="M26" i="20"/>
  <c r="L26" i="20"/>
  <c r="K26" i="20"/>
  <c r="J26" i="20"/>
  <c r="N25" i="20"/>
  <c r="M25" i="20"/>
  <c r="L25" i="20"/>
  <c r="K25" i="20"/>
  <c r="J25" i="20"/>
  <c r="N24" i="20"/>
  <c r="M24" i="20"/>
  <c r="L24" i="20"/>
  <c r="K24" i="20"/>
  <c r="J24" i="20"/>
  <c r="J4" i="20"/>
  <c r="F66" i="19"/>
  <c r="H61" i="19"/>
  <c r="G61" i="19"/>
  <c r="H60" i="19"/>
  <c r="G60" i="19"/>
  <c r="H59" i="19"/>
  <c r="G59" i="19"/>
  <c r="E56" i="19"/>
  <c r="J39" i="19"/>
  <c r="I39" i="19"/>
  <c r="H39" i="19"/>
  <c r="G39" i="19"/>
  <c r="F39" i="19"/>
  <c r="E39" i="19"/>
  <c r="J38" i="19"/>
  <c r="I38" i="19"/>
  <c r="H38" i="19"/>
  <c r="G38" i="19"/>
  <c r="F38" i="19"/>
  <c r="E38" i="19"/>
  <c r="N26" i="19"/>
  <c r="M26" i="19"/>
  <c r="L26" i="19"/>
  <c r="K26" i="19"/>
  <c r="J26" i="19"/>
  <c r="N25" i="19"/>
  <c r="M25" i="19"/>
  <c r="L25" i="19"/>
  <c r="K25" i="19"/>
  <c r="J25" i="19"/>
  <c r="N24" i="19"/>
  <c r="M24" i="19"/>
  <c r="L24" i="19"/>
  <c r="K24" i="19"/>
  <c r="J24" i="19"/>
  <c r="H61" i="18"/>
  <c r="G61" i="18"/>
  <c r="H60" i="18"/>
  <c r="G60" i="18"/>
  <c r="H59" i="18"/>
  <c r="G59" i="18"/>
  <c r="E56" i="18"/>
  <c r="J39" i="18"/>
  <c r="I39" i="18"/>
  <c r="H39" i="18"/>
  <c r="G39" i="18"/>
  <c r="F39" i="18"/>
  <c r="E39" i="18"/>
  <c r="J38" i="18"/>
  <c r="I38" i="18"/>
  <c r="H38" i="18"/>
  <c r="G38" i="18"/>
  <c r="F38" i="18"/>
  <c r="E38" i="18"/>
  <c r="N26" i="18"/>
  <c r="M26" i="18"/>
  <c r="L26" i="18"/>
  <c r="K26" i="18"/>
  <c r="J26" i="18"/>
  <c r="N25" i="18"/>
  <c r="M25" i="18"/>
  <c r="L25" i="18"/>
  <c r="K25" i="18"/>
  <c r="J25" i="18"/>
  <c r="N24" i="18"/>
  <c r="M24" i="18"/>
  <c r="L24" i="18"/>
  <c r="K24" i="18"/>
  <c r="J24" i="18"/>
  <c r="H61" i="17"/>
  <c r="G61" i="17"/>
  <c r="H60" i="17"/>
  <c r="G60" i="17"/>
  <c r="H59" i="17"/>
  <c r="G59" i="17"/>
  <c r="E56" i="17"/>
  <c r="J39" i="17"/>
  <c r="I39" i="17"/>
  <c r="H39" i="17"/>
  <c r="G39" i="17"/>
  <c r="F39" i="17"/>
  <c r="E39" i="17"/>
  <c r="J38" i="17"/>
  <c r="I38" i="17"/>
  <c r="H38" i="17"/>
  <c r="G38" i="17"/>
  <c r="F38" i="17"/>
  <c r="E38" i="17"/>
  <c r="N26" i="17"/>
  <c r="M26" i="17"/>
  <c r="L26" i="17"/>
  <c r="K26" i="17"/>
  <c r="J26" i="17"/>
  <c r="N25" i="17"/>
  <c r="M25" i="17"/>
  <c r="L25" i="17"/>
  <c r="K25" i="17"/>
  <c r="J25" i="17"/>
  <c r="N24" i="17"/>
  <c r="M24" i="17"/>
  <c r="L24" i="17"/>
  <c r="K24" i="17"/>
  <c r="J24" i="17"/>
  <c r="G28" i="14"/>
  <c r="F28" i="14"/>
  <c r="E28" i="14"/>
  <c r="D28" i="14"/>
  <c r="C28" i="14"/>
  <c r="G32" i="12"/>
  <c r="F32" i="12"/>
  <c r="E32" i="12"/>
  <c r="D32" i="12"/>
  <c r="C32" i="12"/>
  <c r="G31" i="12"/>
  <c r="F31" i="12"/>
  <c r="E31" i="12"/>
  <c r="D31" i="12"/>
  <c r="C31" i="12"/>
  <c r="G30" i="12"/>
  <c r="F30" i="12"/>
  <c r="E30" i="12"/>
  <c r="D30" i="12"/>
  <c r="C30" i="12"/>
  <c r="G29" i="12"/>
  <c r="F29" i="12"/>
  <c r="E29" i="12"/>
  <c r="D29" i="12"/>
  <c r="G30" i="11"/>
  <c r="F30" i="11"/>
  <c r="E30" i="11"/>
  <c r="D30" i="11"/>
  <c r="C30" i="11"/>
  <c r="G29" i="11"/>
  <c r="F29" i="11"/>
  <c r="E29" i="11"/>
  <c r="D29" i="11"/>
  <c r="C29" i="11"/>
  <c r="G28" i="11"/>
  <c r="F28" i="11"/>
  <c r="E28" i="11"/>
  <c r="D28" i="11"/>
  <c r="C28" i="11"/>
  <c r="G27" i="11"/>
  <c r="F27" i="11"/>
  <c r="E27" i="11"/>
  <c r="D27" i="11"/>
  <c r="C27" i="11"/>
  <c r="G30" i="10"/>
  <c r="F30" i="10"/>
  <c r="E30" i="10"/>
  <c r="D30" i="10"/>
  <c r="C30" i="10"/>
  <c r="L20" i="10"/>
  <c r="K20" i="10"/>
  <c r="J20" i="10"/>
  <c r="I20" i="10"/>
  <c r="H20" i="10"/>
  <c r="L19" i="10"/>
  <c r="K19" i="10"/>
  <c r="J19" i="10"/>
  <c r="I19" i="10"/>
  <c r="H19" i="10"/>
  <c r="L18" i="10"/>
  <c r="K18" i="10"/>
  <c r="J18" i="10"/>
  <c r="I18" i="10"/>
  <c r="H18" i="10"/>
  <c r="L17" i="10"/>
  <c r="K17" i="10"/>
  <c r="J17" i="10"/>
  <c r="I17" i="10"/>
  <c r="H17" i="10"/>
  <c r="L16" i="10"/>
  <c r="K16" i="10"/>
  <c r="J16" i="10"/>
  <c r="I16" i="10"/>
  <c r="H16" i="10"/>
  <c r="F27" i="8"/>
  <c r="E27" i="8"/>
  <c r="D27" i="8"/>
  <c r="C27" i="8"/>
  <c r="L20" i="8"/>
  <c r="K20" i="8"/>
  <c r="J20" i="8"/>
  <c r="I20" i="8"/>
  <c r="H20" i="8"/>
  <c r="L19" i="8"/>
  <c r="K19" i="8"/>
  <c r="J19" i="8"/>
  <c r="I19" i="8"/>
  <c r="H19" i="8"/>
  <c r="L18" i="8"/>
  <c r="K18" i="8"/>
  <c r="J18" i="8"/>
  <c r="I18" i="8"/>
  <c r="H18" i="8"/>
  <c r="L17" i="8"/>
  <c r="K17" i="8"/>
  <c r="J17" i="8"/>
  <c r="I17" i="8"/>
  <c r="H17" i="8"/>
  <c r="L16" i="8"/>
  <c r="K16" i="8"/>
  <c r="J16" i="8"/>
  <c r="I16" i="8"/>
  <c r="H16" i="8"/>
  <c r="L20" i="6"/>
  <c r="K20" i="6"/>
  <c r="J20" i="6"/>
  <c r="I20" i="6"/>
  <c r="H20" i="6"/>
  <c r="G20" i="6"/>
  <c r="L19" i="6"/>
  <c r="K19" i="6"/>
  <c r="J19" i="6"/>
  <c r="I19" i="6"/>
  <c r="H19" i="6"/>
  <c r="L18" i="6"/>
  <c r="K18" i="6"/>
  <c r="J18" i="6"/>
  <c r="I18" i="6"/>
  <c r="H18" i="6"/>
  <c r="L17" i="6"/>
  <c r="K17" i="6"/>
  <c r="J17" i="6"/>
  <c r="I17" i="6"/>
  <c r="H17" i="6"/>
  <c r="L16" i="6"/>
  <c r="K16" i="6"/>
  <c r="J16" i="6"/>
  <c r="I16" i="6"/>
  <c r="H16" i="6"/>
</calcChain>
</file>

<file path=xl/sharedStrings.xml><?xml version="1.0" encoding="utf-8"?>
<sst xmlns="http://schemas.openxmlformats.org/spreadsheetml/2006/main" count="1601" uniqueCount="508">
  <si>
    <t>Stock Analysis - DATA PATTERNS (INDIA) LTD</t>
  </si>
  <si>
    <t>Company Information</t>
  </si>
  <si>
    <t>#</t>
  </si>
  <si>
    <t>Company Name:</t>
  </si>
  <si>
    <t>DATA PATTERNS (INDIA) LTD</t>
  </si>
  <si>
    <t>Sector:</t>
  </si>
  <si>
    <t>Defence and Aerospace</t>
  </si>
  <si>
    <t>Market Cap (? Cr):</t>
  </si>
  <si>
    <t>No. Of Shares</t>
  </si>
  <si>
    <t>Current Price</t>
  </si>
  <si>
    <t>Face Value</t>
  </si>
  <si>
    <t>Ticker Symbol:</t>
  </si>
  <si>
    <t>DATAPATTNS</t>
  </si>
  <si>
    <t>Brief Description:</t>
  </si>
  <si>
    <t>Data Patterns (India) Limited is one of the fastest-growing companies in the Defence and Aerospace Electronics sector in India.</t>
  </si>
  <si>
    <t> It has supplied products catering to all the platforms, viz., space, air, land and sea, including products for LCA-Tejas, LightUtility Helicopter, BrahMos missile.</t>
  </si>
  <si>
    <t>Financials - DATA PATTERNS (INDIA) LTD</t>
  </si>
  <si>
    <t>Income Statement</t>
  </si>
  <si>
    <t>Trendline</t>
  </si>
  <si>
    <t>Sales</t>
  </si>
  <si>
    <t>COGS</t>
  </si>
  <si>
    <t>Gross Profit</t>
  </si>
  <si>
    <t>Selling and Gen Exp</t>
  </si>
  <si>
    <t>EBITDA</t>
  </si>
  <si>
    <t xml:space="preserve">Other Income </t>
  </si>
  <si>
    <t>Interest</t>
  </si>
  <si>
    <t>Depreciation</t>
  </si>
  <si>
    <t>EBT</t>
  </si>
  <si>
    <t>TAX</t>
  </si>
  <si>
    <t>Net Profit</t>
  </si>
  <si>
    <t>No. of Equity Shares</t>
  </si>
  <si>
    <t>Earnings Per Share</t>
  </si>
  <si>
    <t>Dividend Per Share</t>
  </si>
  <si>
    <t>Balance Sheet</t>
  </si>
  <si>
    <t>Equity Share Capital</t>
  </si>
  <si>
    <t>Reserves</t>
  </si>
  <si>
    <t>Borrowings</t>
  </si>
  <si>
    <t>Other Liabilities</t>
  </si>
  <si>
    <t>Total Liabilities</t>
  </si>
  <si>
    <t>Fixed Assets Net Block</t>
  </si>
  <si>
    <t>Capital Work in Progress</t>
  </si>
  <si>
    <t>Investments</t>
  </si>
  <si>
    <t>Other Assets</t>
  </si>
  <si>
    <t>Total Non Current Assets</t>
  </si>
  <si>
    <t>Receivables</t>
  </si>
  <si>
    <t>Inventory</t>
  </si>
  <si>
    <t>Cash &amp; Bank</t>
  </si>
  <si>
    <t>Total Current Assets</t>
  </si>
  <si>
    <t>Total Assets</t>
  </si>
  <si>
    <t>CASH FLOW:</t>
  </si>
  <si>
    <t>Cash from Operating Activity</t>
  </si>
  <si>
    <t>Cash from Investing Activity</t>
  </si>
  <si>
    <t>Cash from Financing Activity</t>
  </si>
  <si>
    <t>Net Cash Flow</t>
  </si>
  <si>
    <t>Ratio Analysis - DATA PATTERNS (INDIA) LTD</t>
  </si>
  <si>
    <t>Years</t>
  </si>
  <si>
    <t>Mean</t>
  </si>
  <si>
    <t>Median</t>
  </si>
  <si>
    <t>Growth Ratios</t>
  </si>
  <si>
    <t>Sales Growth</t>
  </si>
  <si>
    <t xml:space="preserve"> -</t>
  </si>
  <si>
    <t>EBITDA Growth</t>
  </si>
  <si>
    <t>EBT Growth</t>
  </si>
  <si>
    <t>Net Profit Growth</t>
  </si>
  <si>
    <t>Dividend Growth</t>
  </si>
  <si>
    <t>Profitability Ratios</t>
  </si>
  <si>
    <t>Gross Margin</t>
  </si>
  <si>
    <t>EBITDA Margin</t>
  </si>
  <si>
    <t>EBIT Margin</t>
  </si>
  <si>
    <t>EBT Margin</t>
  </si>
  <si>
    <t>Net Profit Margin</t>
  </si>
  <si>
    <t>Efficiency Ratios</t>
  </si>
  <si>
    <t>Debtor Turnover Ratio</t>
  </si>
  <si>
    <t>Creditor Turnover Ratio</t>
  </si>
  <si>
    <t>Inventory Turnover Ratio</t>
  </si>
  <si>
    <t>Fixed Asset Turnover Ratio</t>
  </si>
  <si>
    <t>Capital Turnover Ratio</t>
  </si>
  <si>
    <t>Solvency Ratios</t>
  </si>
  <si>
    <t>Debt-to-equity</t>
  </si>
  <si>
    <t>Interest Coverage Ratio</t>
  </si>
  <si>
    <t>Return Ratios</t>
  </si>
  <si>
    <t>Return On Capital Employed</t>
  </si>
  <si>
    <t>Retained Earnings%</t>
  </si>
  <si>
    <t>Return On Equity%</t>
  </si>
  <si>
    <t>Self Sustained Growth Rate</t>
  </si>
  <si>
    <t>Activity Ratios</t>
  </si>
  <si>
    <t>Debtor Days</t>
  </si>
  <si>
    <t>Payable Days</t>
  </si>
  <si>
    <t>Inventory Days</t>
  </si>
  <si>
    <t>Cash Conversion Cycle</t>
  </si>
  <si>
    <t>Valuation Ratios - DATA PATTERNS (INDIA) LTD</t>
  </si>
  <si>
    <t>Current</t>
  </si>
  <si>
    <t>P/E Ratio</t>
  </si>
  <si>
    <t>P/B Ratio</t>
  </si>
  <si>
    <t>P/Sales</t>
  </si>
  <si>
    <t>EV/EBITDA</t>
  </si>
  <si>
    <t>Growth - DATA PATTERNS (INDIA) LTD</t>
  </si>
  <si>
    <t>Profit Growth</t>
  </si>
  <si>
    <t>Return on Equity</t>
  </si>
  <si>
    <t>TTM</t>
  </si>
  <si>
    <t>3 Years</t>
  </si>
  <si>
    <t>5 Years</t>
  </si>
  <si>
    <t>10 Years</t>
  </si>
  <si>
    <t>FUNDAMENTAL STOCK ANALYSIS - DATA INPUT</t>
  </si>
  <si>
    <t>1. BASIC COMPANY INFORMATION</t>
  </si>
  <si>
    <t>MTAR Technologies Ltd.</t>
  </si>
  <si>
    <t>Industrial or Defense</t>
  </si>
  <si>
    <t>Sub-sector / Segment:</t>
  </si>
  <si>
    <t>Industrial Machinery</t>
  </si>
  <si>
    <t>Market Cap (₹ Cr):</t>
  </si>
  <si>
    <t>5,449 Cr.</t>
  </si>
  <si>
    <t>MTARTECH</t>
  </si>
  <si>
    <t>Analyst Name:</t>
  </si>
  <si>
    <t>Geetanshu and Hardik</t>
  </si>
  <si>
    <t xml:space="preserve">MTAR develops and manufactures components and equipment for the defense, aerospace, nuclear and clean energy sectors. The company was incorporated in 1970 by the promoters, Mr PR Reddy, Mr KSN Reddy and Mr PJ Reddy, to cater to the technical and engineering needs of the Indian government in the post embargo regime. </t>
  </si>
  <si>
    <t>2. FINANCIAL DATA (5-YEAR HISTORICAL)</t>
  </si>
  <si>
    <t>FY2021</t>
  </si>
  <si>
    <t>FY2022</t>
  </si>
  <si>
    <t>FY2023</t>
  </si>
  <si>
    <t>FY2024</t>
  </si>
  <si>
    <t>FY2025</t>
  </si>
  <si>
    <t>FY2026E</t>
  </si>
  <si>
    <t>FY2027E</t>
  </si>
  <si>
    <t>FY2028E</t>
  </si>
  <si>
    <t>FY2029E</t>
  </si>
  <si>
    <t>Revenue (₹ Cr)</t>
  </si>
  <si>
    <t>Net Profit (₹ Cr)</t>
  </si>
  <si>
    <t>EBITDA (₹ Cr)</t>
  </si>
  <si>
    <t>EPS (₹)</t>
  </si>
  <si>
    <t>Dividend per Share (₹)</t>
  </si>
  <si>
    <t>-</t>
  </si>
  <si>
    <t>3. KEY RATIOS &amp; VALUATION METRICS</t>
  </si>
  <si>
    <t>ROE (%)</t>
  </si>
  <si>
    <t>Dividend Yield (%)</t>
  </si>
  <si>
    <t>Debt/Equity Ratio</t>
  </si>
  <si>
    <t>PBDIT Margin (%)</t>
  </si>
  <si>
    <t>PBIT Margin (%)</t>
  </si>
  <si>
    <t>PBT Margin (%)</t>
  </si>
  <si>
    <t>Net Profit Margin (%)</t>
  </si>
  <si>
    <t>Return on Networth / Equity (%)</t>
  </si>
  <si>
    <t>Return on Capital Employed (%)</t>
  </si>
  <si>
    <t>4. QUALITATIVE FACTORS (SCORED 1-5)</t>
  </si>
  <si>
    <t>Management Quality</t>
  </si>
  <si>
    <t>Competitive/Market Position</t>
  </si>
  <si>
    <t>Brand Strength or Tech Adoption</t>
  </si>
  <si>
    <t>Regulatory/ESG Alignment or Asset Quality</t>
  </si>
  <si>
    <t>5. Notes/Comments</t>
  </si>
  <si>
    <t>MTAR Technologies operates in high-growth sectors like defence, aerospace, and clean energy, with strong government and global client backing. It has a robust order book, healthy margins, and low debt. This makes it well-positioned for long-term sustainable growth.</t>
  </si>
  <si>
    <t>Bharat Electronics Ltd (BEL)</t>
  </si>
  <si>
    <t>Aerospace &amp; Defence Electronics</t>
  </si>
  <si>
    <t xml:space="preserve"> Government-owned Defence Electronics Manufacturer</t>
  </si>
  <si>
    <t>₹2.87 lakh Cr</t>
  </si>
  <si>
    <t>BSE: 500049, NSE: BEL</t>
  </si>
  <si>
    <t xml:space="preserve">Rohit Rajesh Pawar
</t>
  </si>
  <si>
    <t>A Navratna PSU under the Ministry of Defence, specializing in radars, weapon systems, avionics, electronic warfare, communication systems, and civil applications like EVMs and smart infrastructure</t>
  </si>
  <si>
    <t>Year</t>
  </si>
  <si>
    <t>FY2030E</t>
  </si>
  <si>
    <t>Revenue</t>
  </si>
  <si>
    <t>~7,241</t>
  </si>
  <si>
    <t>~9,136</t>
  </si>
  <si>
    <t>~12,510</t>
  </si>
  <si>
    <t>~14,625</t>
  </si>
  <si>
    <t>~17,084</t>
  </si>
  <si>
    <t>Dividend/share (₹)</t>
  </si>
  <si>
    <t>2.40 (incl. ₹1.50 interim &amp; ₹0.90 final)</t>
  </si>
  <si>
    <t>–</t>
  </si>
  <si>
    <t>METRIC</t>
  </si>
  <si>
    <t> FY2021</t>
  </si>
  <si>
    <t> FY2022</t>
  </si>
  <si>
    <t> FY2023</t>
  </si>
  <si>
    <t> FY2024</t>
  </si>
  <si>
    <t> FY2025</t>
  </si>
  <si>
    <t>19.85 %</t>
  </si>
  <si>
    <t>20.54 %</t>
  </si>
  <si>
    <t>22.81 %</t>
  </si>
  <si>
    <t>26.37 %</t>
  </si>
  <si>
    <t>N/A</t>
  </si>
  <si>
    <t>P/E Ratio (x)</t>
  </si>
  <si>
    <t>14.52×</t>
  </si>
  <si>
    <t>21.42×</t>
  </si>
  <si>
    <t>23.89×</t>
  </si>
  <si>
    <t>36.96×</t>
  </si>
  <si>
    <t>46.24×</t>
  </si>
  <si>
    <t>P/B Ratio (x)</t>
  </si>
  <si>
    <t>2.75×</t>
  </si>
  <si>
    <t>4.18×</t>
  </si>
  <si>
    <t>5.14×</t>
  </si>
  <si>
    <t>9.01×</t>
  </si>
  <si>
    <t>13.06×</t>
  </si>
  <si>
    <t>EV/EBITDA (x)</t>
  </si>
  <si>
    <t>9.27×</t>
  </si>
  <si>
    <t>15.46×</t>
  </si>
  <si>
    <t>17.45×</t>
  </si>
  <si>
    <t>27.20×</t>
  </si>
  <si>
    <t>34.66×</t>
  </si>
  <si>
    <t xml:space="preserve">Dividend Yield </t>
  </si>
  <si>
    <t>3.39 %</t>
  </si>
  <si>
    <t>2.22 %</t>
  </si>
  <si>
    <t>1.88 %</t>
  </si>
  <si>
    <t>1.10 %</t>
  </si>
  <si>
    <t>0.75 %</t>
  </si>
  <si>
    <t>EBITDA Margin (%)</t>
  </si>
  <si>
    <t>22.00 %</t>
  </si>
  <si>
    <t>23.24 %</t>
  </si>
  <si>
    <t>24.62 %</t>
  </si>
  <si>
    <t>28.20 %</t>
  </si>
  <si>
    <t>27.50 %</t>
  </si>
  <si>
    <t>Gross Profit Margin (%)</t>
  </si>
  <si>
    <t>47.64 %</t>
  </si>
  <si>
    <t>Working Capital Days</t>
  </si>
  <si>
    <t>133 d inv</t>
  </si>
  <si>
    <t>~125 d inv</t>
  </si>
  <si>
    <t>135 d debtors</t>
  </si>
  <si>
    <t>123 d inv</t>
  </si>
  <si>
    <t>Advertising &amp; Promotion Spend</t>
  </si>
  <si>
    <t>R&amp;D Spend (₹ Cr)</t>
  </si>
  <si>
    <t>SKU Count</t>
  </si>
  <si>
    <t>N/+B26:G34A</t>
  </si>
  <si>
    <t>Parameter</t>
  </si>
  <si>
    <t>Score</t>
  </si>
  <si>
    <t>Operational Excellence</t>
  </si>
  <si>
    <t>Competitive / Market Position</t>
  </si>
  <si>
    <t>Strategic Assets</t>
  </si>
  <si>
    <t>Regulatory &amp; ESG</t>
  </si>
  <si>
    <t xml:space="preserve">Strong Q4 FY25 performance: Revenue up ~7%, PAT up ~18%, EBITDA margin ~30.8%. </t>
  </si>
  <si>
    <t xml:space="preserve">Order book remains robust at ₹71,650 Cr, ensuring strong revenue visibility into FY26. </t>
  </si>
  <si>
    <t>BEL is debt-free with strong ROE/ROCE and offers stable dividend payouts. However, its valuation remains rich with a P/E in the 45–69× range.</t>
  </si>
  <si>
    <t>.</t>
  </si>
  <si>
    <t>Hindustan Aeronautics Ltd</t>
  </si>
  <si>
    <t>Aerospace &amp; Defense</t>
  </si>
  <si>
    <t>₹ 3,35,097 Cr</t>
  </si>
  <si>
    <t>BSE: 541154, NSE: HAL</t>
  </si>
  <si>
    <t>Hindustan Aeronautics is engaged in the business of Manufacture of Aircraft and Helicopters and Repair, Maintenance of Aircraft and Helicopters.</t>
  </si>
  <si>
    <t>26.1 </t>
  </si>
  <si>
    <t>27.0 </t>
  </si>
  <si>
    <t>Aerospace &amp; Defense Ratios</t>
  </si>
  <si>
    <t>ROCE (%)</t>
  </si>
  <si>
    <t>Capacity Utilization (%)</t>
  </si>
  <si>
    <t>5-10x</t>
  </si>
  <si>
    <t>Operation Exellence</t>
  </si>
  <si>
    <t>HAL is a strategically vital defense PSU with strong growth potential backed by a robust order book, but it faces execution and governance challenges typical of public sector enterprises.</t>
  </si>
  <si>
    <t>Hindustan Unilever Limited</t>
  </si>
  <si>
    <t> </t>
  </si>
  <si>
    <t>FMCG</t>
  </si>
  <si>
    <t>Home Care,Beauty &amp; Personal Care, Foods and Refreshments, Water Purification.</t>
  </si>
  <si>
    <r>
      <rPr>
        <sz val="12"/>
        <color rgb="FF000000"/>
        <rFont val="Calibri"/>
        <family val="2"/>
        <scheme val="minor"/>
      </rPr>
      <t>₹ </t>
    </r>
    <r>
      <rPr>
        <sz val="12"/>
        <color rgb="FF22222F"/>
        <rFont val="Inter var, Inter, sans-serif"/>
        <family val="2"/>
      </rPr>
      <t>5,58,723</t>
    </r>
    <r>
      <rPr>
        <sz val="12"/>
        <color rgb="FF000000"/>
        <rFont val="Calibri"/>
        <family val="2"/>
        <scheme val="minor"/>
      </rPr>
      <t> Cr.</t>
    </r>
  </si>
  <si>
    <r>
      <rPr>
        <sz val="11"/>
        <color rgb="FF625AFC"/>
        <rFont val="Inter var, Inter, sans-serif"/>
        <family val="2"/>
      </rPr>
      <t> NSE: HINDUNILVR</t>
    </r>
    <r>
      <rPr>
        <sz val="11"/>
        <color rgb="FF000000"/>
        <rFont val="Calibri"/>
        <family val="2"/>
        <scheme val="minor"/>
      </rPr>
      <t>,</t>
    </r>
  </si>
  <si>
    <t> BSE: 500696</t>
  </si>
  <si>
    <t>Fincore_SIP(012)</t>
  </si>
  <si>
    <r>
      <rPr>
        <sz val="12"/>
        <color rgb="FF000000"/>
        <rFont val="Inter var, Inter, sans-serif"/>
        <family val="2"/>
      </rPr>
      <t>Hindustan Unilever is in the FMCG business comprising primarily of Home Care, Beauty &amp; Personal Care and Foods &amp; Refreshment segments.</t>
    </r>
    <r>
      <rPr>
        <sz val="12"/>
        <color rgb="FF0D0D0D"/>
        <rFont val="ui-sans-serif, -apple-system, s"/>
        <family val="2"/>
      </rPr>
      <t xml:space="preserve">It is a subsidiary of Unilever, a British multinational company. </t>
    </r>
    <r>
      <rPr>
        <sz val="12"/>
        <color rgb="FF000000"/>
        <rFont val="Inter var, Inter, sans-serif"/>
        <family val="2"/>
      </rPr>
      <t>The Company has manufacturing facilities across the country and sells primarily in India.</t>
    </r>
  </si>
  <si>
    <t>Demonstrates pricing power and rural reach, but emerging market growth and leadership claims lack quantified backing.</t>
  </si>
  <si>
    <t>Consistent innovation and digital expansion, with room to improve on linking new product success to financials.</t>
  </si>
  <si>
    <t>Industry-leading ESG disclosures with clear targets, supplier coverage, and high localization of sourcing.</t>
  </si>
  <si>
    <t>Pros</t>
  </si>
  <si>
    <t>Cons</t>
  </si>
  <si>
    <t>Strong parent backing (Unilever)</t>
  </si>
  <si>
    <t>Limited visibility into quantified market leadership claims</t>
  </si>
  <si>
    <t>High brand trust and rural penetration</t>
  </si>
  <si>
    <t>Margin pressures from inflation and competition</t>
  </si>
  <si>
    <t>Industry-best ESG practices</t>
  </si>
  <si>
    <t>Heavily India-dependent – limited global diversification</t>
  </si>
  <si>
    <t>Consistent financial growth and high dividend yield</t>
  </si>
  <si>
    <t>ITC Ltd</t>
  </si>
  <si>
    <t>FMCG Cigarettes, FMCG Others, Paperboards, Paper and Packaging, and Agri Business</t>
  </si>
  <si>
    <r>
      <rPr>
        <sz val="11"/>
        <color rgb="FF000000"/>
        <rFont val="Calibri"/>
        <family val="2"/>
        <scheme val="minor"/>
      </rPr>
      <t>₹ 5,21,776 Cr</t>
    </r>
  </si>
  <si>
    <t>NSE: ITC; BSE: 500875</t>
  </si>
  <si>
    <t>Capital Catalyst_SIP(010)</t>
  </si>
  <si>
    <t>Established in 1910, ITC is the largest cigarette manufacturer and seller in the country. ITC operates in four business segments at present</t>
  </si>
  <si>
    <t>Advertising &amp; Promotion Spend (₹ Cr)</t>
  </si>
  <si>
    <t>Strongly managed diversifications, strong governance and transparency, strong leadership and  strategic management under Mr Sanjiv Puri</t>
  </si>
  <si>
    <t>Although a strong  brand reputation and commendable performance in the FMCG Sector but still lags behind Market giants like HUL and faces fierce competition from P&amp;G and nestle , lags behind in personal care sector</t>
  </si>
  <si>
    <t>ITC owns a large number of very well known brands such as Savlon, Sunfeast, Aashirvaad which are well known and recalled among consumers , but lack global appeal  and international demand</t>
  </si>
  <si>
    <t>ITC is widely regarded as one of India’s most ESG-compliant companies, especially in areas like sustainability, resource-positive operations, and governance transparency.</t>
  </si>
  <si>
    <t>1. Strong revenue and net profit growth over the years.</t>
  </si>
  <si>
    <t>1. High valuation multiples (P/E, EV/EBITDA) suggest the stock may be overvalued.</t>
  </si>
  <si>
    <t>2. Consistently rising EPS, indicating increasing shareholder value.</t>
  </si>
  <si>
    <t>2. EBITDA growth has stagnated or declined in recent years.</t>
  </si>
  <si>
    <t>3. High and improving Return on Equity (ROE).</t>
  </si>
  <si>
    <t>3. Faces tough competition from market leaders like HUL, Nestlé, and P&amp;G.</t>
  </si>
  <si>
    <t>4. Attractive and stable dividend payouts with good yield.</t>
  </si>
  <si>
    <t>4. Limited global presence and brand recall outside India.</t>
  </si>
  <si>
    <t>5. Robust EBITDA margins reflecting operational efficiency.</t>
  </si>
  <si>
    <t>5. Significant increase in working capital days indicating potential operational inefficiencies.</t>
  </si>
  <si>
    <t>6. Low debt-to-equity ratio ensures financial stability.</t>
  </si>
  <si>
    <t>7. Strong management with clear strategic direction.</t>
  </si>
  <si>
    <t>8. High ESG compliance and sustainability focus.</t>
  </si>
  <si>
    <t>Nestlé India Limited</t>
  </si>
  <si>
    <t>Milk and Nutrition,Prepared Dishes and Cooking Aids, Beverages, Chocolate and Confectionery, Health Science and Infant Nutrition:</t>
  </si>
  <si>
    <r>
      <rPr>
        <sz val="11"/>
        <color rgb="FF000000"/>
        <rFont val="Calibri"/>
        <family val="2"/>
        <scheme val="minor"/>
      </rPr>
      <t>₹ </t>
    </r>
    <r>
      <rPr>
        <sz val="11"/>
        <color rgb="FF22222F"/>
        <rFont val="Inter var, Inter, sans-serif"/>
        <family val="2"/>
      </rPr>
      <t>2,31,340</t>
    </r>
    <r>
      <rPr>
        <sz val="11"/>
        <color rgb="FF000000"/>
        <rFont val="Calibri"/>
        <family val="2"/>
        <scheme val="minor"/>
      </rPr>
      <t> Cr.</t>
    </r>
  </si>
  <si>
    <t>NSE: NESTLEIND</t>
  </si>
  <si>
    <t>BSE: 500790</t>
  </si>
  <si>
    <t>Nestlé India Limited is a leading FMCG (Fast-Moving Consumer Goods) company in India and a subsidiary of the global food and beverage giant Nestlé S.A., Switzerland. Headquartered in Gurugram, Haryana, Nestlé India has been operating in the country for over a century, with its first factory established in 1961.</t>
  </si>
  <si>
    <t>Governance processes are in place, but ESG-linked incentives and succession disclosures lack transparency and quantification.</t>
  </si>
  <si>
    <t>Leadership is claimed, but pricing power and emerging market growth lack supporting data or performance metrics.</t>
  </si>
  <si>
    <t>Innovation and digital efforts are present, but contribution to revenue and ad efficiency are not clearly quantified.</t>
  </si>
  <si>
    <t>Strong ESG intent with certifications and waste data, but forward-looking targets and sourcing metrics are missing.</t>
  </si>
  <si>
    <r>
      <rPr>
        <b/>
        <sz val="11"/>
        <color theme="1"/>
        <rFont val="Calibri"/>
        <family val="2"/>
        <scheme val="minor"/>
      </rPr>
      <t>Strong Global Backing:</t>
    </r>
    <r>
      <rPr>
        <sz val="11"/>
        <color theme="1"/>
        <rFont val="Calibri"/>
        <family val="2"/>
        <scheme val="minor"/>
      </rPr>
      <t xml:space="preserve"> Subsidiary of Nestlé S.A., providing brand trust, R&amp;D, and global best practices.</t>
    </r>
  </si>
  <si>
    <r>
      <rPr>
        <b/>
        <sz val="11"/>
        <color theme="1"/>
        <rFont val="Calibri"/>
        <family val="2"/>
        <scheme val="minor"/>
      </rPr>
      <t>Overvalued Valuation Metrics:</t>
    </r>
    <r>
      <rPr>
        <sz val="11"/>
        <color theme="1"/>
        <rFont val="Calibri"/>
        <family val="2"/>
        <scheme val="minor"/>
      </rPr>
      <t xml:space="preserve"> Very high P/E and P/B ratios suggest overvaluation relative to peers.</t>
    </r>
  </si>
  <si>
    <r>
      <rPr>
        <b/>
        <sz val="11"/>
        <color theme="1"/>
        <rFont val="Calibri"/>
        <family val="2"/>
        <scheme val="minor"/>
      </rPr>
      <t>Consistent Profit Growth:</t>
    </r>
    <r>
      <rPr>
        <sz val="11"/>
        <color theme="1"/>
        <rFont val="Calibri"/>
        <family val="2"/>
        <scheme val="minor"/>
      </rPr>
      <t xml:space="preserve"> Steady rise in revenue and net profit over the years.</t>
    </r>
  </si>
  <si>
    <r>
      <rPr>
        <b/>
        <sz val="11"/>
        <color theme="1"/>
        <rFont val="Calibri"/>
        <family val="2"/>
        <scheme val="minor"/>
      </rPr>
      <t>Low Dividend Yield:</t>
    </r>
    <r>
      <rPr>
        <sz val="11"/>
        <color theme="1"/>
        <rFont val="Calibri"/>
        <family val="2"/>
        <scheme val="minor"/>
      </rPr>
      <t xml:space="preserve"> Dividend yield remains extremely low despite high payouts.</t>
    </r>
  </si>
  <si>
    <r>
      <rPr>
        <b/>
        <sz val="11"/>
        <color theme="1"/>
        <rFont val="Calibri"/>
        <family val="2"/>
        <scheme val="minor"/>
      </rPr>
      <t>Low Debt:</t>
    </r>
    <r>
      <rPr>
        <sz val="11"/>
        <color theme="1"/>
        <rFont val="Calibri"/>
        <family val="2"/>
        <scheme val="minor"/>
      </rPr>
      <t xml:space="preserve"> Very low debt-to-equity ratio, indicating strong financial stability.</t>
    </r>
  </si>
  <si>
    <r>
      <rPr>
        <b/>
        <sz val="11"/>
        <color theme="1"/>
        <rFont val="Calibri"/>
        <family val="2"/>
        <scheme val="minor"/>
      </rPr>
      <t>Weak Working Capital Efficiency:</t>
    </r>
    <r>
      <rPr>
        <sz val="11"/>
        <color theme="1"/>
        <rFont val="Calibri"/>
        <family val="2"/>
        <scheme val="minor"/>
      </rPr>
      <t xml:space="preserve"> Negative working capital days could indicate cash flow pressure.</t>
    </r>
  </si>
  <si>
    <r>
      <rPr>
        <b/>
        <sz val="11"/>
        <color theme="1"/>
        <rFont val="Calibri"/>
        <family val="2"/>
        <scheme val="minor"/>
      </rPr>
      <t>Strong EBITDA Margins:</t>
    </r>
    <r>
      <rPr>
        <sz val="11"/>
        <color theme="1"/>
        <rFont val="Calibri"/>
        <family val="2"/>
        <scheme val="minor"/>
      </rPr>
      <t xml:space="preserve"> Maintains high EBITDA margins (~24–25%), reflecting operational efficiency.</t>
    </r>
  </si>
  <si>
    <r>
      <rPr>
        <b/>
        <sz val="11"/>
        <color theme="1"/>
        <rFont val="Calibri"/>
        <family val="2"/>
        <scheme val="minor"/>
      </rPr>
      <t>Limited ESG Transparency:</t>
    </r>
    <r>
      <rPr>
        <sz val="11"/>
        <color theme="1"/>
        <rFont val="Calibri"/>
        <family val="2"/>
        <scheme val="minor"/>
      </rPr>
      <t xml:space="preserve"> ESG efforts exist but lack forward-looking metrics and measurable outcomes.</t>
    </r>
  </si>
  <si>
    <r>
      <rPr>
        <b/>
        <sz val="11"/>
        <color theme="1"/>
        <rFont val="Calibri"/>
        <family val="2"/>
        <scheme val="minor"/>
      </rPr>
      <t>Robust R&amp;D and Advertising Spend:</t>
    </r>
    <r>
      <rPr>
        <sz val="11"/>
        <color theme="1"/>
        <rFont val="Calibri"/>
        <family val="2"/>
        <scheme val="minor"/>
      </rPr>
      <t xml:space="preserve"> High investment in innovation and brand-building.</t>
    </r>
  </si>
  <si>
    <r>
      <rPr>
        <b/>
        <sz val="11"/>
        <color theme="1"/>
        <rFont val="Calibri"/>
        <family val="2"/>
        <scheme val="minor"/>
      </rPr>
      <t>Below-average Qualitative Scores:</t>
    </r>
    <r>
      <rPr>
        <sz val="11"/>
        <color theme="1"/>
        <rFont val="Calibri"/>
        <family val="2"/>
        <scheme val="minor"/>
      </rPr>
      <t xml:space="preserve"> Management quality, market position, and innovation impact lack clear, quantifiable support.</t>
    </r>
  </si>
  <si>
    <r>
      <rPr>
        <b/>
        <sz val="11"/>
        <color theme="1"/>
        <rFont val="Calibri"/>
        <family val="2"/>
        <scheme val="minor"/>
      </rPr>
      <t>Resilient Dividend Payouts:</t>
    </r>
    <r>
      <rPr>
        <sz val="11"/>
        <color theme="1"/>
        <rFont val="Calibri"/>
        <family val="2"/>
        <scheme val="minor"/>
      </rPr>
      <t xml:space="preserve"> Consistent dividend payments showing shareholder focus.</t>
    </r>
  </si>
  <si>
    <t>Britannia Industries Ltd</t>
  </si>
  <si>
    <t>Biscuits, Bread and Dairy products</t>
  </si>
  <si>
    <r>
      <rPr>
        <sz val="11"/>
        <color theme="1"/>
        <rFont val="Calibri"/>
        <family val="2"/>
        <scheme val="minor"/>
      </rPr>
      <t>₹ </t>
    </r>
    <r>
      <rPr>
        <sz val="11"/>
        <color rgb="FF22222F"/>
        <rFont val="Calibri"/>
        <family val="2"/>
        <scheme val="minor"/>
      </rPr>
      <t>1,34,187</t>
    </r>
    <r>
      <rPr>
        <sz val="11"/>
        <color theme="1"/>
        <rFont val="Calibri"/>
        <family val="2"/>
        <scheme val="minor"/>
      </rPr>
      <t> Cr</t>
    </r>
  </si>
  <si>
    <t>NSE: BRITANNIA; BSE:500825</t>
  </si>
  <si>
    <t xml:space="preserve">Britannia Industries is one of Indias leading food companies with a 100 year legacy and annual revenues in excess of Rs. 9000 Cr. </t>
  </si>
  <si>
    <t>Strong execution, prudent capital management; slight limitation in global diversification.</t>
  </si>
  <si>
    <t>Near-dominance in core categories; still faces price wars and rural penetration challenges.</t>
  </si>
  <si>
    <t>High legacy strength but room for advanced digital transformation.</t>
  </si>
  <si>
    <t>Stable asset base and compliance; ESG initiatives developing but not industry-leading.</t>
  </si>
  <si>
    <t>1. Consistent revenue and net profit growth with future projections indicating steady upward momentum.</t>
  </si>
  <si>
    <t>1. Very high valuation metrics (P/E &gt; 50, P/B ~30, EV/EBITDA &gt; 35), indicating the stock may be overvalued.</t>
  </si>
  <si>
    <t>2. High Return on Equity (ROE) consistently above 50%, reflecting excellent capital efficiency.</t>
  </si>
  <si>
    <t>2. EBITDA and gross profit margins are lower compared to peers like ITC or Nestlé.</t>
  </si>
  <si>
    <t>3. Strong and stable EPS with continued growth outlook.</t>
  </si>
  <si>
    <t>3. Dividend yield remains relatively low despite high payouts due to elevated stock price.</t>
  </si>
  <si>
    <t>4. Regular and increasing dividend payouts, offering income stability.</t>
  </si>
  <si>
    <t>4. Limited global footprint and slower progress in international expansion.</t>
  </si>
  <si>
    <t>5. Low and improving debt-to-equity ratio, indicating reduced financial risk.</t>
  </si>
  <si>
    <t>5. Moderate ESG and digital transformation scores suggest room for improvement.</t>
  </si>
  <si>
    <t>6. Solid EBITDA margins, showing effective cost control and profitability.</t>
  </si>
  <si>
    <t>6. Highly competitive environment with pressure from price wars and rural market challenges.</t>
  </si>
  <si>
    <t>7. Strong competitive position in core FMCG categories with dominant market share.</t>
  </si>
  <si>
    <t>7. Volatility in working capital days suggests some inconsistency in operational efficiency.</t>
  </si>
  <si>
    <t>8. Competent management with disciplined capital allocation and consistent performance.</t>
  </si>
  <si>
    <t>Godrej Consumer Products Limited </t>
  </si>
  <si>
    <t xml:space="preserve">FMCG </t>
  </si>
  <si>
    <t>Home care, Hair care, Personal Care</t>
  </si>
  <si>
    <r>
      <rPr>
        <sz val="11"/>
        <color theme="1"/>
        <rFont val="Calibri"/>
        <family val="2"/>
        <scheme val="minor"/>
      </rPr>
      <t>₹ </t>
    </r>
    <r>
      <rPr>
        <sz val="11"/>
        <color theme="1"/>
        <rFont val="Inter var, Inter, sans-serif"/>
        <family val="2"/>
      </rPr>
      <t>1,24,341</t>
    </r>
    <r>
      <rPr>
        <sz val="11"/>
        <color theme="1"/>
        <rFont val="Calibri"/>
        <family val="2"/>
        <scheme val="minor"/>
      </rPr>
      <t> Cr.</t>
    </r>
  </si>
  <si>
    <t>NSE: GODREJCP</t>
  </si>
  <si>
    <t>BSE: 532424</t>
  </si>
  <si>
    <r>
      <rPr>
        <sz val="11"/>
        <color theme="1"/>
        <rFont val="ui-sans-serif, -apple-system, s"/>
        <family val="2"/>
      </rPr>
      <t>Godrej Consumer Products Limited (GCPL) is a leading Indian FMCG company, headquartered in Mumbai, Maharashtra. </t>
    </r>
    <r>
      <rPr>
        <sz val="11"/>
        <color theme="1"/>
        <rFont val="Inter var, Inter, sans-serif"/>
        <family val="2"/>
      </rPr>
      <t>Godrej Consumer Products is engaged in a fast moving consumer goods Company, manufacturing and marketing Household and Personal Care products.</t>
    </r>
  </si>
  <si>
    <t>ESG-linked incentives are clearly disclosed, but succession planning and supply chain disclosures lack depth and quantification.</t>
  </si>
  <si>
    <t>Strong pricing power and emerging market focus shown through regional growth, though market leadership data remains unquantified.</t>
  </si>
  <si>
    <t>Innovation and digital coverage are visible, but no linkage to revenue impact or promotional efficiency is reported.</t>
  </si>
  <si>
    <t>Well-defined ESG metrics and plastic targets are in place, but local sourcing data is vague.</t>
  </si>
  <si>
    <r>
      <rPr>
        <b/>
        <sz val="11"/>
        <color theme="1"/>
        <rFont val="Calibri"/>
        <family val="2"/>
        <scheme val="minor"/>
      </rPr>
      <t>Strong Market Presence:</t>
    </r>
    <r>
      <rPr>
        <sz val="11"/>
        <color theme="1"/>
        <rFont val="Calibri"/>
        <family val="2"/>
        <scheme val="minor"/>
      </rPr>
      <t xml:space="preserve"> Solid positioning in home and personal care with pricing power and regional growth.</t>
    </r>
  </si>
  <si>
    <r>
      <rPr>
        <b/>
        <sz val="11"/>
        <color theme="1"/>
        <rFont val="Calibri"/>
        <family val="2"/>
        <scheme val="minor"/>
      </rPr>
      <t>Profit Volatility:</t>
    </r>
    <r>
      <rPr>
        <sz val="11"/>
        <color theme="1"/>
        <rFont val="Calibri"/>
        <family val="2"/>
        <scheme val="minor"/>
      </rPr>
      <t xml:space="preserve"> Sharp decline in net profit in FY24 despite revenue growth.</t>
    </r>
  </si>
  <si>
    <r>
      <rPr>
        <b/>
        <sz val="11"/>
        <color theme="1"/>
        <rFont val="Calibri"/>
        <family val="2"/>
        <scheme val="minor"/>
      </rPr>
      <t>Healthy EBITDA Margins:</t>
    </r>
    <r>
      <rPr>
        <sz val="11"/>
        <color theme="1"/>
        <rFont val="Calibri"/>
        <family val="2"/>
        <scheme val="minor"/>
      </rPr>
      <t xml:space="preserve"> Consistently strong margins (~26–32%) indicating efficient operations.</t>
    </r>
  </si>
  <si>
    <r>
      <rPr>
        <b/>
        <sz val="11"/>
        <color theme="1"/>
        <rFont val="Calibri"/>
        <family val="2"/>
        <scheme val="minor"/>
      </rPr>
      <t>High Valuation Multiples:</t>
    </r>
    <r>
      <rPr>
        <sz val="11"/>
        <color theme="1"/>
        <rFont val="Calibri"/>
        <family val="2"/>
        <scheme val="minor"/>
      </rPr>
      <t xml:space="preserve"> Elevated P/E and EV/EBITDA ratios may signal overvaluation.</t>
    </r>
  </si>
  <si>
    <r>
      <rPr>
        <b/>
        <sz val="11"/>
        <color theme="1"/>
        <rFont val="Calibri"/>
        <family val="2"/>
        <scheme val="minor"/>
      </rPr>
      <t>Improved ESG Transparency:</t>
    </r>
    <r>
      <rPr>
        <sz val="11"/>
        <color theme="1"/>
        <rFont val="Calibri"/>
        <family val="2"/>
        <scheme val="minor"/>
      </rPr>
      <t xml:space="preserve"> Clearly defined ESG metrics and goals (e.g., plastics reduction).</t>
    </r>
  </si>
  <si>
    <r>
      <rPr>
        <b/>
        <sz val="11"/>
        <color theme="1"/>
        <rFont val="Calibri"/>
        <family val="2"/>
        <scheme val="minor"/>
      </rPr>
      <t>Weak Working Capital Efficiency:</t>
    </r>
    <r>
      <rPr>
        <sz val="11"/>
        <color theme="1"/>
        <rFont val="Calibri"/>
        <family val="2"/>
        <scheme val="minor"/>
      </rPr>
      <t xml:space="preserve"> Negative or high working capital days show cash cycle inefficiency.</t>
    </r>
  </si>
  <si>
    <r>
      <rPr>
        <b/>
        <sz val="11"/>
        <color theme="1"/>
        <rFont val="Calibri"/>
        <family val="2"/>
        <scheme val="minor"/>
      </rPr>
      <t>Rising Dividends:</t>
    </r>
    <r>
      <rPr>
        <sz val="11"/>
        <color theme="1"/>
        <rFont val="Calibri"/>
        <family val="2"/>
        <scheme val="minor"/>
      </rPr>
      <t xml:space="preserve"> Initiated and consistently increasing dividend payout post-FY24.</t>
    </r>
  </si>
  <si>
    <r>
      <rPr>
        <b/>
        <sz val="11"/>
        <color theme="1"/>
        <rFont val="Calibri"/>
        <family val="2"/>
        <scheme val="minor"/>
      </rPr>
      <t>Minimal R&amp;D Investment:</t>
    </r>
    <r>
      <rPr>
        <sz val="11"/>
        <color theme="1"/>
        <rFont val="Calibri"/>
        <family val="2"/>
        <scheme val="minor"/>
      </rPr>
      <t xml:space="preserve"> Very low R&amp;D spend compared to peers may affect innovation.</t>
    </r>
  </si>
  <si>
    <r>
      <rPr>
        <b/>
        <sz val="11"/>
        <color theme="1"/>
        <rFont val="Calibri"/>
        <family val="2"/>
        <scheme val="minor"/>
      </rPr>
      <t>Future Profit Recovery:</t>
    </r>
    <r>
      <rPr>
        <sz val="11"/>
        <color theme="1"/>
        <rFont val="Calibri"/>
        <family val="2"/>
        <scheme val="minor"/>
      </rPr>
      <t xml:space="preserve"> Net profit expected to rebound strongly after FY24 dip.</t>
    </r>
  </si>
  <si>
    <r>
      <rPr>
        <b/>
        <sz val="11"/>
        <color theme="1"/>
        <rFont val="Calibri"/>
        <family val="2"/>
        <scheme val="minor"/>
      </rPr>
      <t>Incomplete ESG and Supply Chain Disclosures:</t>
    </r>
    <r>
      <rPr>
        <sz val="11"/>
        <color theme="1"/>
        <rFont val="Calibri"/>
        <family val="2"/>
        <scheme val="minor"/>
      </rPr>
      <t xml:space="preserve"> Some ESG and sourcing data lack depth or quantification.</t>
    </r>
  </si>
  <si>
    <r>
      <rPr>
        <b/>
        <sz val="11"/>
        <color theme="1"/>
        <rFont val="Calibri"/>
        <family val="2"/>
        <scheme val="minor"/>
      </rPr>
      <t>Low to Moderate Debt:</t>
    </r>
    <r>
      <rPr>
        <sz val="11"/>
        <color theme="1"/>
        <rFont val="Calibri"/>
        <family val="2"/>
        <scheme val="minor"/>
      </rPr>
      <t xml:space="preserve"> Manageable debt levels ensure financial stability.</t>
    </r>
  </si>
  <si>
    <t>Dabur India Ltd</t>
  </si>
  <si>
    <t xml:space="preserve">Home &amp; personal care, Ayurvedic and Natural Health care, Food &amp; Beverages </t>
  </si>
  <si>
    <t>₹ 86,600 Cr.</t>
  </si>
  <si>
    <t>NSE: DABUR; BSE:500096</t>
  </si>
  <si>
    <t>Dabur is India’s leading FMCG, Ayurvedic and natural health care companies with wide network distribution across world.</t>
  </si>
  <si>
    <t>Successful planning and governance under Mr mehta and strategic acquisition at right time like that of Badshah masala and expansion in international arena, but promoter led structure could limit independent decision taking</t>
  </si>
  <si>
    <t>Good national and international presence especially in products like honey and chyawanprash their flagship product , but faces a stiff competition from HUL and P&amp;G ,and local competitors like patanjali and emami</t>
  </si>
  <si>
    <t>Strong brand name with large rural and semi rural presence  with solid supply chain networks and distribution networks, although tech adoption is behind the other peer competitors</t>
  </si>
  <si>
    <t>Strong CSR performance , with enviromental initiatives, and a transparent governence makes dabur a good ESG player</t>
  </si>
  <si>
    <t>1. Dabur has shown consistent revenue growth over the years, with strong projections going forward.</t>
  </si>
  <si>
    <t>1. It faces strong competition from both multinational and domestic FMCG players.</t>
  </si>
  <si>
    <t>2. It has a strong brand presence in health and wellness, especially in rural and semi-urban markets.</t>
  </si>
  <si>
    <t>2. Return on equity has been steadily declining, suggesting reduced capital efficiency.</t>
  </si>
  <si>
    <t>3. The company maintains solid EBITDA margins, indicating operational efficiency.</t>
  </si>
  <si>
    <t>3. Dabur’s high P/E and EV/EBITDA ratios may indicate that the stock is currently overvalued.</t>
  </si>
  <si>
    <t>4. Despite a gradual decline, Dabur continues to deliver healthy return ratios like ROE.</t>
  </si>
  <si>
    <t>4. The company is behind some of its peers in adopting new technology and digital platforms.</t>
  </si>
  <si>
    <t>5. The company’s low debt-to-equity ratio reflects a strong balance sheet and low financial risk.</t>
  </si>
  <si>
    <t>5. Its promoter-led structure may limit independent strategic decision-making.</t>
  </si>
  <si>
    <t>6. Dabur scores well on ESG initiatives, with strong CSR performance and transparent governance.</t>
  </si>
  <si>
    <t>State Bank Of India</t>
  </si>
  <si>
    <t>Banking</t>
  </si>
  <si>
    <t>Private Sector Bank / Commercial Banking</t>
  </si>
  <si>
    <t>NSE: SBIN</t>
  </si>
  <si>
    <t>Madhav Tandon I Jas Gulati I Manish Kongare</t>
  </si>
  <si>
    <t>State Bank of India is a Fortune 500 company. It is an Indian Multinational, Public Sector banking and financial services statutory body headquartered in Mumbai. It is the largest and oldest bank in India with over 200 years of history.</t>
  </si>
  <si>
    <t>Total Income (₹ Cr)</t>
  </si>
  <si>
    <t>Price</t>
  </si>
  <si>
    <t>Common Ratios (All Sectors)</t>
  </si>
  <si>
    <t>Banking-Specific Ratios</t>
  </si>
  <si>
    <t>ROA (%)</t>
  </si>
  <si>
    <t>NIM (%)</t>
  </si>
  <si>
    <t>Gross NPA (%)</t>
  </si>
  <si>
    <t>CASA Ratio (%)</t>
  </si>
  <si>
    <t>Cost-to-Income Ratio (%)</t>
  </si>
  <si>
    <t>Capital Adequacy Ratio (%)</t>
  </si>
  <si>
    <t>Over the past five years, SBI’s financial performance has strengthened significantly. Total Income rose from ₹2,78,115 crore in FY2021 to ₹4,90,938 crore in FY2025, while net profit more than tripled from ₹23,888 crore to ₹80,523 crore. EPS increased steadily from ₹25.11 to ₹86.91, and dividend per share rose from ₹4.00 to ₹15.90, indicating improved shareholder returns. Return on Equity (ROE) grew from 8.86% to a peak of 17.46% in FY2024 before slightly declining to 16.07% in FY2025. Meanwhile, Return on Assets (ROA) also improved from 0.45% to 1.06%, and the bank reduced its gross NPA from 3.97% in FY2022 to 2.06% in FY2025, reflecting better asset quality. Cost-to-income ratio declined from 57.91% in FY2022 to 50.31% in FY2025, showing greater operational efficiency. Capital adequacy remained stable around 13%, and despite some fluctuation, the bank's P/E and P/B ratios indicate steady valuation. Overall, SBI has demonstrated strong financial growth, enhanced efficiency, and improved credit quality over this period.</t>
  </si>
  <si>
    <t>ICICI Bank</t>
  </si>
  <si>
    <t>Private Sector Bank</t>
  </si>
  <si>
    <t>NSE: ICICIBANK</t>
  </si>
  <si>
    <t>ICICI Bank is the second-largest private sector bank in India offering a diversified portfolio of financial products and services to retail, SME and corporate customers. The Bank has an extensive network of branches, ATMs and other touch-points.The ICICI group has presence in businesses like life and general insurance, housing finance, primary dealership, etc, through its subsidiaries and associates.</t>
  </si>
  <si>
    <t>Over the past five years, ICICI Bank has delivered consistent financial growth, with net profit rising from ₹16,192 crore in FY2021 to ₹47,226 crore in FY2025. Its earnings per share and dividend payouts have steadily increased, indicating strong value creation for shareholders. The bank has maintained healthy margins and improved return ratios, with ROA climbing to 2.22% and ROE peaking at 17.37%. Asset quality has seen a remarkable turnaround, as gross NPAs reduced from 8.0% in FY2021 to just 2.26% in FY2024, showing tighter credit controls and better risk management. Operational efficiency has also improved, with a declining cost-to-income ratio and stable capital adequacy. Overall, ICICI Bank stands out as a financially sound, efficiently run, and future-ready institution in the Indian banking space.</t>
  </si>
  <si>
    <t>Kotak Mahindra Bank</t>
  </si>
  <si>
    <t>KOTAKBANK</t>
  </si>
  <si>
    <t>Kotak Mahindra Bank is one of India's leading private sector banks, offering a wide range of banking and financial services, including commercial banking, investment banking, personal finance, and wealth management.</t>
  </si>
  <si>
    <t>Kotak Mahindra Bank has demonstrated consistent growth in net profit and maintains strong asset quality.</t>
  </si>
  <si>
    <t>The bank's focus on digital transformation and expansion of its branch network positions it well for future growth.</t>
  </si>
  <si>
    <t>Maintaining a high Capital Adequacy Ratio indicates robust financial health and the ability to absorb potential losses.</t>
  </si>
  <si>
    <t>HDFC Bank</t>
  </si>
  <si>
    <t>NSE: HDFCBANK | BSE: 500180</t>
  </si>
  <si>
    <t>HDFC Bank Limited is a leading private sector bank in India offering a wide range of financial services through its subsidiaries, including retail and wholesale banking, treasury operations, insurance, asset management, and stockbroking. Its key segments are treasury (investment and money market activities), retail banking (including digital services), wholesale banking (corporate lending and services), and other operations like credit cards and third-party product distribution.</t>
  </si>
  <si>
    <t>1) Company has delivered good profit growth of 21.0% CAGR over last 5 years
2) Company has been maintaining a healthy dividend payout of 23.3%
3) Company's median sales growth is 16.4% of last 10 years</t>
  </si>
  <si>
    <t>Field</t>
  </si>
  <si>
    <t>Value</t>
  </si>
  <si>
    <t>Company Name</t>
  </si>
  <si>
    <t>Axis Bank</t>
  </si>
  <si>
    <t>Sector</t>
  </si>
  <si>
    <t>Sub-sector / Segment</t>
  </si>
  <si>
    <t>Market Cap (₹ Cr)</t>
  </si>
  <si>
    <t>Ticker Symbol</t>
  </si>
  <si>
    <t>NSE: AXISBANK</t>
  </si>
  <si>
    <t>Analyst Name</t>
  </si>
  <si>
    <t>ChatGPT Analyst</t>
  </si>
  <si>
    <t>Brief Description</t>
  </si>
  <si>
    <t>Axis Bank is one of the largest private sector banks in India offering a wide range of financial services.</t>
  </si>
  <si>
    <t>Metric</t>
  </si>
  <si>
    <t>FY2024 (E)</t>
  </si>
  <si>
    <t>FY2025 (E)</t>
  </si>
  <si>
    <t>Price (₹)</t>
  </si>
  <si>
    <t>Bank</t>
  </si>
  <si>
    <t>Management Quality (1-5)</t>
  </si>
  <si>
    <t>Competitive/Market Position (1-5)</t>
  </si>
  <si>
    <t>Brand Strength or Tech Adoption (1-5)</t>
  </si>
  <si>
    <t>Regulatory/ESG Alignment or Asset Quality (1-5)</t>
  </si>
  <si>
    <t>Comments</t>
  </si>
  <si>
    <t>Axis has improved profitability and tech adoption, but high cost ratios remain a concern.</t>
  </si>
  <si>
    <t>Bank of Baroda</t>
  </si>
  <si>
    <t>Public Sector Bank / Commercial Banking</t>
  </si>
  <si>
    <t>NSE: BANKBARODA</t>
  </si>
  <si>
    <t>Bank of Baroda is a leading public sector bank in India with a strong domestic and international presence.</t>
  </si>
  <si>
    <t>BOB has improved NPAs and capital base, but still lags in tech and efficiency compared to private peers.</t>
  </si>
  <si>
    <t>All Data In Cr Unless Its Stated</t>
  </si>
  <si>
    <t>Assumptions:</t>
  </si>
  <si>
    <t>GAIL (India) Ltd.</t>
  </si>
  <si>
    <t>CAGR</t>
  </si>
  <si>
    <t>Base Case</t>
  </si>
  <si>
    <t>Natural Gas</t>
  </si>
  <si>
    <t>Industry Growth Rate</t>
  </si>
  <si>
    <t>Sub-Sector / Segment:</t>
  </si>
  <si>
    <t>LPG</t>
  </si>
  <si>
    <t xml:space="preserve">Average Growth Rate </t>
  </si>
  <si>
    <t>Current Share Price (₹ Rs):</t>
  </si>
  <si>
    <t>Inflation Rate</t>
  </si>
  <si>
    <t>No of Shares (₹ Cr):</t>
  </si>
  <si>
    <t>GDP Growth Rate</t>
  </si>
  <si>
    <t>GAIL</t>
  </si>
  <si>
    <t>Yash Shende</t>
  </si>
  <si>
    <t>GAIL (India) Limited operates as a natural gas processing and distribution company in India and internationally. The company operates through Transmission Services, Natural Gas Marketing, Petrochemicals, LPG and Other Liquid Hydrocarbons, and Other segments. It is involved in the transmission and marketing of natural gas to the power, fertilizer, industrial, automotive, petrochemicals, and domestic and commercial sectors. The company also markets liquefied petroleum gas (LPG), propane, pentane, naphtha, mixed fuel oil, polyethylene, and polypropylene; and manufactures petrochemicals, such as high-density polyethylene and linear low-density polyethylene under the brand names of G-Lex and G-Lene. In addition, it generates wind and solar power. Further, the company engages in the chartering of LNG vessels. The company was incorporated in 1984 and is based in New Delhi, India.</t>
  </si>
  <si>
    <t>FY2021A</t>
  </si>
  <si>
    <t>FY2022A</t>
  </si>
  <si>
    <t>FY2023A</t>
  </si>
  <si>
    <t>FY2024A</t>
  </si>
  <si>
    <t>FY2025A</t>
  </si>
  <si>
    <t>Promotor's holding</t>
  </si>
  <si>
    <t>Oil &amp; Gas-Specific Ratios</t>
  </si>
  <si>
    <t>Refining Capacity (MMT)</t>
  </si>
  <si>
    <t>Pipeline Network Length (KM)</t>
  </si>
  <si>
    <t>LPG (‘000 MT)</t>
  </si>
  <si>
    <t>Natural Gas (MMSCM)</t>
  </si>
  <si>
    <t>5. Relative Valuation</t>
  </si>
  <si>
    <t>As of Now 4th June 2025</t>
  </si>
  <si>
    <t>Relative Valuation</t>
  </si>
  <si>
    <t>Up/Down</t>
  </si>
  <si>
    <t>OIL Relative Value</t>
  </si>
  <si>
    <t>Best Case</t>
  </si>
  <si>
    <t xml:space="preserve">Worst Case </t>
  </si>
  <si>
    <t>Valuation Multiples</t>
  </si>
  <si>
    <t>Indusrty</t>
  </si>
  <si>
    <t>P/S</t>
  </si>
  <si>
    <t>P/E</t>
  </si>
  <si>
    <t>P/B</t>
  </si>
  <si>
    <t>EV/EBIT</t>
  </si>
  <si>
    <t>Others Rates</t>
  </si>
  <si>
    <t>WACC</t>
  </si>
  <si>
    <t>Cost of Equity</t>
  </si>
  <si>
    <t>Cost of Debt</t>
  </si>
  <si>
    <t>Beta</t>
  </si>
  <si>
    <t>Market Risk Premium</t>
  </si>
  <si>
    <t>6. Final Verdict</t>
  </si>
  <si>
    <t>GAIL (India) Ltd. shows strong long-term investment potential, backed by consistent revenue and profit growth, low debt, and improving margins. From FY2021 to FY2030E, revenue and net profit are projected to grow significantly, while key ratios like ROE and net profit margin strengthen. The stock appears undervalued with a current P/E of 10.09 and strong upside potential, with a base case valuation of ₹199.56 against the current price of ₹152.65. Its robust infrastructure, steady capacity expansion, and high qualitative scores (4.25/5) further enhance its appeal. Overall, GAIL is a fundamentally sound company and is recommended as a strong buy.</t>
  </si>
  <si>
    <t>Hindustan Petroleum Corporation Ltd.</t>
  </si>
  <si>
    <t>Crude Oil</t>
  </si>
  <si>
    <t>Petroleum Products</t>
  </si>
  <si>
    <t>HINDPETRO</t>
  </si>
  <si>
    <t>Prashant Sharma</t>
  </si>
  <si>
    <t>Hindustan Petroleum Corporation Limited refines and markets petroleum products in India and internationally. It operates through Downstream Petroleum and All Other segments. The company provides petrol, diesel, kerosene, liquefied petroleum gas (LPG), naphtha lubricants, specialties, and greases, as well as aviation turbine fuel; and markets and exports bulk fuels, bitumen, solvents, jet and marine fuel, marine lubes, household insecticides, hexane, propylene, jute batch oil, turpentine oil, carbon black feed stock, molten sulphur, and superior kerosene oil (SKO). It is also involved in international trade activities, including crude oil imports, petroleum product imports/exports, import/export registration, shipping. In addition, the company markets bulk fuels and petroleum products to industrial consumers like power plants, chemicals, fertilizers, shipping companies, and airlines. Further, the company offers LPG products under the HP Gas brand, as well as bulk LPG products for industries; and operates retail petrol pumps and pipelines for the transportation of petroleum products. Additionally, the company explores for and produces hydrocarbons, as well as provides management services for exploration and production blocks; and operates sugar ethanol-cogen plants in Bihar, and wind power plants in Maharashtra and Rajasthan. As of March 31, 2023, it operated through a marketing network of 140 regional offices; 72 depots; 55 LPG bottling plants; 54 aviation service facilities; 21,186 retail outlets; 1,638 SKO and light diesel oil dealers; and 6,283 LPG distributors, as well as 43 terminals, installation, and TOPs. The company was founded in 1910 and is headquartered in Mumbai, India. Hindustan Petroleum Corporation Limited is a subsidiary of Oil and Natural Gas Corporation Limited.</t>
  </si>
  <si>
    <t>10.3.03</t>
  </si>
  <si>
    <t>Crude Oil (MMT)</t>
  </si>
  <si>
    <t>HPCL</t>
  </si>
  <si>
    <t>Coste of Equity</t>
  </si>
  <si>
    <t>HPCL displays volatile performance, with revenue growth but inconsistent profits and margins. ROE has dropped significantly from 28% (FY21) to 13.17% (FY25), and the net profit margin is thin at 1.55%. While capacity utilization and refining volume remain strong, financial ratios like EV/EBITDA (8.40) and a high P/E of 12.67 reflect moderate valuation concerns. The current price is ₹401.00, with a base case target of ₹457.17, offering limited upside. Qualitative scores (avg. 4.25/5) reflect good operational strength, but the stock offers modest returns. Hence, HPCL is rated as a hold, with cautious optimism on long-term improvements.</t>
  </si>
  <si>
    <t>Bharat Petroleum Corporation Ltd.</t>
  </si>
  <si>
    <t>BPCL</t>
  </si>
  <si>
    <t>Nishant Shankar</t>
  </si>
  <si>
    <t>Bharat Petroleum Corporation Limited refines crude oil and markets petroleum products in India. It operates through two segments: Downstream Petroleum, and Exploration and Production of Hydrocarbons. The company operates fuel stations that sell petrol, diesel, automotive liquefied petroleum gas (LPG), and compressed natural gas. It also provides Bharatgas fuels; MAK lubricants, such as automotive engine oils, gear oils, greases, and specialties, as well as industrial lubricants; and aviation fuel services to airlines. In addition, the company offers industrial fuels products, such as white oil, black oil, bitumen, sulphur, petcoke, propylene, petchem, and solvents products; and bunkering facilities. Further, it imports and exports petroleum products, as well as engages in the natural gas business. Its marketing infrastructure includes a network of installations, depots, retail outlets, aviation fuelling stations, and LPG distributors. The company was formerly known as Bharat Refineries Limited and changed its name to Bharat Petroleum Corporation Limited in August 1977. Bharat Petroleum Corporation Limited was incorporated in 1952 and is based in Mumbai, India.</t>
  </si>
  <si>
    <t>BPCL shows mixed performance with moderate revenue growth and declining profit margins. While ROE remains strong (16.39% in FY25), profitability has declined compared to earlier years. Valuation looks reasonable with a P/E of 10.08 and EV/EBITDA of 6.38. The company maintains strong operational efficiency with over 100% capacity utilization and consistent refining capacity. However, margins and net profit have weakened. Relative valuation indicates limited upside, with a base case target of ₹311.02 versus a current price of ₹376.13. Despite its operational strength, due to low margin outlook and limited upside, BPCL is rated as a hold with a cautious stance.</t>
  </si>
  <si>
    <t>Oil &amp; Natural Gas Corp. Ltd.</t>
  </si>
  <si>
    <t>Oil &amp; Gas / Energy Sector</t>
  </si>
  <si>
    <t>Oil exploration &amp; Production</t>
  </si>
  <si>
    <r>
      <rPr>
        <b/>
        <sz val="12"/>
        <color theme="1"/>
        <rFont val="Calibri"/>
        <family val="2"/>
      </rPr>
      <t>Stock CAGR (5Y</t>
    </r>
    <r>
      <rPr>
        <sz val="12"/>
        <color theme="1"/>
        <rFont val="Calibri"/>
        <family val="2"/>
      </rPr>
      <t>)</t>
    </r>
  </si>
  <si>
    <t>ONGC</t>
  </si>
  <si>
    <t>Aditya Srivastava &amp; Pawan Joshi</t>
  </si>
  <si>
    <t>Oil and Natural Gas Corporation Limited (ONGC) is India’s largest state-owned oil and gas exploration and production company, established in 1956. As a Maharatna Central Public Sector Enterprise (CPSE) under the Ministry of Petroleum &amp; Natural Gas, ONGC plays a foundational role in India’s energy ecosystem by contributing over 70% of the country’s crude oil and around 60% of its natural gas production.
ONGC’s operations span across the entire upstream hydrocarbon value chain, including exploration, drilling, development, and production of oil and gas both in India and abroad. Its domestic presence covers vast offshore and onshore basins, with major production zones in western offshore regions, Assam, and Gujarat. The company also has a strong international footprint through its wholly owned subsidiary ONGC Videsh Ltd., which operates in over 15 countries, including Russia, Vietnam, Brazil, and Mozambique.
With a vast network of infrastructure including rigs, processing plants, and logistics systems, ONGC has been instrumental in ensuring India's energy security.</t>
  </si>
  <si>
    <t>Source&gt; SpreadAlpha,Finchat.io</t>
  </si>
  <si>
    <t>Oil and Natural Gas Corporation Ltd. (ONGC) presents a solid investment case backed by its position as India’s largest upstream oil and gas producer. As a Maharatna CPSE with over 70% share in domestic crude oil production, ONGC benefits from scale, government backing, and diversified reserves OIL has demonstrated consistent financial growth, healthy EBITDA and net profit margins , and improved profitability over the years. Despite being undervalued relative to industry peers (P/E of 7.5x vs. industry 10x), the stock has shown an impressive 5-year CAGR of 22%, indicating strong market confidence.                                        The relative valuation base case offers 74.2% upside, with best case showing 110.1% upside potential. While we can see that worst case offers 31.2 % upside potential.
Given robust fundamentals, steady dividends, and undervaluation, ONGC is a ‘BUY’ for long-term investors, especially in the base-to-best case growth outlook, supported by India's energy demand and transition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</si>
</sst>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 #,##0.00_ ;_ * \-#,##0.00_ ;_ * &quot;-&quot;??_ ;_ @_ "/>
    <numFmt numFmtId="164" formatCode="&quot;₹&quot;\ #,##0.0;\(&quot;₹&quot;\ #,##0.0\);\-"/>
    <numFmt numFmtId="165" formatCode="0.00&quot;x&quot;"/>
    <numFmt numFmtId="166" formatCode="0\ &quot;Days&quot;"/>
    <numFmt numFmtId="167" formatCode="0.0%"/>
    <numFmt numFmtId="168" formatCode="0&quot;x&quot;"/>
    <numFmt numFmtId="169" formatCode="0.0"/>
    <numFmt numFmtId="170" formatCode="#,##0.0"/>
    <numFmt numFmtId="171" formatCode="mmm/yy&quot;A&quot;"/>
    <numFmt numFmtId="172" formatCode="0.0&quot;x&quot;"/>
    <numFmt numFmtId="173" formatCode="&quot;₹&quot;\ #,##0.00"/>
    <numFmt numFmtId="174" formatCode="[$₹-439]#,##0"/>
  </numFmts>
  <fonts count="54">
    <font>
      <sz val="11"/>
      <color theme="1"/>
      <name val="Calibri"/>
      <family val="2"/>
    </font>
    <font>
      <sz val="11"/>
      <color theme="1"/>
      <name val="Calibri"/>
      <family val="2"/>
      <scheme val="minor"/>
    </font>
    <font>
      <sz val="10"/>
      <color theme="1"/>
      <name val="Arial"/>
      <family val="2"/>
    </font>
    <font>
      <b/>
      <sz val="11"/>
      <color theme="1"/>
      <name val="Calibri"/>
      <family val="2"/>
    </font>
    <font>
      <b/>
      <sz val="14"/>
      <color theme="0"/>
      <name val="Calibri"/>
      <family val="2"/>
      <scheme val="minor"/>
    </font>
    <font>
      <b/>
      <sz val="11"/>
      <color theme="0"/>
      <name val="Calibri"/>
      <family val="2"/>
      <scheme val="minor"/>
    </font>
    <font>
      <sz val="11"/>
      <color rgb="FF606F7B"/>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2"/>
      <color rgb="FFFFFFFF"/>
      <name val="Calibri"/>
      <family val="2"/>
      <scheme val="minor"/>
    </font>
    <font>
      <sz val="11"/>
      <name val="Calibri"/>
      <family val="2"/>
    </font>
    <font>
      <sz val="11"/>
      <color rgb="FF000000"/>
      <name val="Calibri"/>
      <family val="2"/>
    </font>
    <font>
      <b/>
      <sz val="12"/>
      <color rgb="FFFFFFFF"/>
      <name val="Calibri"/>
      <family val="2"/>
    </font>
    <font>
      <sz val="11"/>
      <name val="Calibri"/>
      <family val="2"/>
      <charset val="134"/>
      <scheme val="minor"/>
    </font>
    <font>
      <b/>
      <sz val="12"/>
      <color rgb="FF000000"/>
      <name val="Calibri"/>
      <family val="2"/>
      <scheme val="minor"/>
    </font>
    <font>
      <sz val="11"/>
      <color rgb="FF22222F"/>
      <name val="Calibri"/>
      <family val="2"/>
      <scheme val="minor"/>
    </font>
    <font>
      <sz val="11"/>
      <color rgb="FF000000"/>
      <name val="Calibri"/>
      <family val="2"/>
      <scheme val="minor"/>
    </font>
    <font>
      <i/>
      <sz val="8"/>
      <color theme="1"/>
      <name val="Calibri"/>
      <family val="2"/>
    </font>
    <font>
      <sz val="12"/>
      <color theme="1"/>
      <name val="Calibri"/>
      <family val="2"/>
    </font>
    <font>
      <i/>
      <sz val="12"/>
      <color theme="1"/>
      <name val="Calibri"/>
      <family val="2"/>
    </font>
    <font>
      <i/>
      <sz val="9"/>
      <color theme="1"/>
      <name val="Calibri"/>
      <family val="2"/>
    </font>
    <font>
      <sz val="11"/>
      <color theme="0"/>
      <name val="Calibri"/>
      <family val="2"/>
    </font>
    <font>
      <sz val="11"/>
      <color rgb="FF22222F"/>
      <name val="Calibri"/>
      <family val="2"/>
    </font>
    <font>
      <b/>
      <sz val="12"/>
      <color theme="1"/>
      <name val="Calibri"/>
      <family val="2"/>
    </font>
    <font>
      <sz val="12"/>
      <color rgb="FF000000"/>
      <name val="Calibri"/>
      <family val="2"/>
    </font>
    <font>
      <b/>
      <sz val="12"/>
      <color rgb="FF000000"/>
      <name val="Calibri"/>
      <family val="2"/>
    </font>
    <font>
      <sz val="8"/>
      <color rgb="FF333333"/>
      <name val="&quot;Fira Sans&quot;"/>
      <family val="2"/>
    </font>
    <font>
      <b/>
      <sz val="12"/>
      <color theme="1"/>
      <name val="Calibri"/>
      <family val="2"/>
      <scheme val="minor"/>
    </font>
    <font>
      <sz val="7"/>
      <color rgb="FF333333"/>
      <name val="Arial"/>
      <family val="2"/>
    </font>
    <font>
      <b/>
      <sz val="7"/>
      <color rgb="FF333333"/>
      <name val="Arial"/>
      <family val="2"/>
    </font>
    <font>
      <sz val="11"/>
      <color rgb="FF22222F"/>
      <name val="Inter"/>
      <family val="2"/>
    </font>
    <font>
      <b/>
      <sz val="11"/>
      <color rgb="FF000000"/>
      <name val="Calibri"/>
      <family val="2"/>
    </font>
    <font>
      <sz val="13.5"/>
      <color rgb="FF111827"/>
      <name val="Ui-Sans-Serif"/>
      <family val="2"/>
      <charset val="1"/>
    </font>
    <font>
      <sz val="11"/>
      <color rgb="FF333333"/>
      <name val="Calibri"/>
      <family val="2"/>
    </font>
    <font>
      <sz val="11"/>
      <color rgb="FF333333"/>
      <name val="Latoregular"/>
      <family val="2"/>
      <charset val="1"/>
    </font>
    <font>
      <sz val="11"/>
      <color rgb="FF22222F"/>
      <name val="Inter Var"/>
      <family val="2"/>
      <charset val="1"/>
    </font>
    <font>
      <sz val="11"/>
      <color theme="1"/>
      <name val="Inter Var"/>
      <family val="2"/>
      <charset val="1"/>
    </font>
    <font>
      <sz val="11"/>
      <color theme="1"/>
      <name val="Inter var, Inter, sans-serif"/>
      <family val="2"/>
    </font>
    <font>
      <sz val="11"/>
      <color rgb="FF625AFC"/>
      <name val="Inter var, Inter, sans-serif"/>
      <family val="2"/>
    </font>
    <font>
      <sz val="11"/>
      <color rgb="FF0D0D0D"/>
      <name val="ui-sans-serif, -apple-system, s"/>
      <family val="2"/>
    </font>
    <font>
      <sz val="10"/>
      <color rgb="FF0D0D0D"/>
      <name val="Calibri"/>
      <family val="2"/>
    </font>
    <font>
      <sz val="11"/>
      <color rgb="FF0D0D0D"/>
      <name val="Calibri"/>
      <family val="2"/>
      <scheme val="minor"/>
    </font>
    <font>
      <sz val="11"/>
      <color rgb="FF625AFC"/>
      <name val="Calibri"/>
      <family val="2"/>
      <scheme val="minor"/>
    </font>
    <font>
      <sz val="12"/>
      <color theme="1"/>
      <name val="Calibri"/>
      <family val="2"/>
      <scheme val="minor"/>
    </font>
    <font>
      <sz val="12"/>
      <color theme="1"/>
      <name val="Inter var, Inter, sans-serif"/>
      <family val="2"/>
    </font>
    <font>
      <sz val="12"/>
      <color rgb="FF625AFC"/>
      <name val="Calibri"/>
      <family val="2"/>
      <scheme val="minor"/>
    </font>
    <font>
      <sz val="12"/>
      <color rgb="FF000000"/>
      <name val="Calibri"/>
      <family val="2"/>
      <scheme val="minor"/>
    </font>
    <font>
      <sz val="12"/>
      <color rgb="FF0D0D0D"/>
      <name val="Calibri"/>
      <family val="2"/>
      <scheme val="minor"/>
    </font>
    <font>
      <sz val="11"/>
      <color theme="1"/>
      <name val="ui-sans-serif, -apple-system, s"/>
      <family val="2"/>
    </font>
    <font>
      <sz val="11"/>
      <color rgb="FF22222F"/>
      <name val="Inter var, Inter, sans-serif"/>
      <family val="2"/>
    </font>
    <font>
      <sz val="12"/>
      <color rgb="FF22222F"/>
      <name val="Inter var, Inter, sans-serif"/>
      <family val="2"/>
    </font>
    <font>
      <sz val="12"/>
      <color rgb="FF000000"/>
      <name val="Inter var, Inter, sans-serif"/>
      <family val="2"/>
    </font>
    <font>
      <sz val="12"/>
      <color rgb="FF0D0D0D"/>
      <name val="ui-sans-serif, -apple-system, s"/>
      <family val="2"/>
    </font>
  </fonts>
  <fills count="21">
    <fill>
      <patternFill patternType="none"/>
    </fill>
    <fill>
      <patternFill patternType="gray125"/>
    </fill>
    <fill>
      <patternFill patternType="solid">
        <fgColor theme="5" tint="0.39997558519241921"/>
        <bgColor indexed="64"/>
      </patternFill>
    </fill>
    <fill>
      <patternFill patternType="solid">
        <fgColor theme="0"/>
        <bgColor indexed="64"/>
      </patternFill>
    </fill>
    <fill>
      <patternFill patternType="solid">
        <fgColor theme="5" tint="-0.49995422223578601"/>
        <bgColor indexed="64"/>
      </patternFill>
    </fill>
    <fill>
      <patternFill patternType="solid">
        <fgColor theme="5" tint="-0.24994659260841701"/>
        <bgColor indexed="64"/>
      </patternFill>
    </fill>
    <fill>
      <patternFill patternType="solid">
        <fgColor rgb="FF004F81"/>
        <bgColor indexed="64"/>
      </patternFill>
    </fill>
    <fill>
      <patternFill patternType="solid">
        <fgColor rgb="FFB8CCE4"/>
        <bgColor indexed="64"/>
      </patternFill>
    </fill>
    <fill>
      <patternFill patternType="solid">
        <fgColor rgb="FFFFFFFF"/>
        <bgColor indexed="64"/>
      </patternFill>
    </fill>
    <fill>
      <patternFill patternType="solid">
        <fgColor rgb="FFF8F8FC"/>
        <bgColor indexed="64"/>
      </patternFill>
    </fill>
    <fill>
      <patternFill patternType="solid">
        <fgColor rgb="FF356854"/>
        <bgColor indexed="64"/>
      </patternFill>
    </fill>
    <fill>
      <patternFill patternType="solid">
        <fgColor rgb="FFF6F8F9"/>
        <bgColor indexed="64"/>
      </patternFill>
    </fill>
    <fill>
      <patternFill patternType="solid">
        <fgColor theme="2"/>
        <bgColor indexed="64"/>
      </patternFill>
    </fill>
    <fill>
      <patternFill patternType="solid">
        <fgColor rgb="FFFFFFFF"/>
        <bgColor indexed="64"/>
      </patternFill>
    </fill>
    <fill>
      <patternFill patternType="solid">
        <fgColor rgb="FFC3D69B"/>
        <bgColor indexed="64"/>
      </patternFill>
    </fill>
    <fill>
      <patternFill patternType="solid">
        <fgColor rgb="FFC3D69B"/>
        <bgColor indexed="64"/>
      </patternFill>
    </fill>
    <fill>
      <patternFill patternType="solid">
        <fgColor rgb="FFC3D69B"/>
        <bgColor indexed="64"/>
      </patternFill>
    </fill>
    <fill>
      <patternFill patternType="solid">
        <fgColor rgb="FFC00000"/>
        <bgColor indexed="64"/>
      </patternFill>
    </fill>
    <fill>
      <patternFill patternType="solid">
        <fgColor rgb="FF1F4E79"/>
        <bgColor indexed="64"/>
      </patternFill>
    </fill>
    <fill>
      <patternFill patternType="solid">
        <fgColor rgb="FF5B9BD5"/>
        <bgColor indexed="64"/>
      </patternFill>
    </fill>
    <fill>
      <patternFill patternType="solid">
        <fgColor rgb="FFE7E6E6"/>
        <bgColor indexed="64"/>
      </patternFill>
    </fill>
  </fills>
  <borders count="49">
    <border>
      <left/>
      <right/>
      <top/>
      <bottom/>
      <diagonal/>
    </border>
    <border>
      <left/>
      <right/>
      <top style="hair">
        <color auto="1"/>
      </top>
      <bottom style="hair">
        <color auto="1"/>
      </bottom>
      <diagonal/>
    </border>
    <border>
      <left/>
      <right/>
      <top style="medium">
        <color auto="1"/>
      </top>
      <bottom style="medium">
        <color auto="1"/>
      </bottom>
      <diagonal/>
    </border>
    <border>
      <left/>
      <right/>
      <top style="thin">
        <color auto="1"/>
      </top>
      <bottom style="thin">
        <color auto="1"/>
      </bottom>
      <diagonal/>
    </border>
    <border>
      <left/>
      <right/>
      <top style="dotted">
        <color auto="1"/>
      </top>
      <bottom style="dotted">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auto="1"/>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284E3F"/>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284E3F"/>
      </right>
      <top style="thin">
        <color rgb="FFF6F8F9"/>
      </top>
      <bottom style="thin">
        <color rgb="FF284E3F"/>
      </bottom>
      <diagonal/>
    </border>
    <border>
      <left style="thin">
        <color rgb="FF284E3F"/>
      </left>
      <right style="thin">
        <color rgb="FF356854"/>
      </right>
      <top/>
      <bottom/>
      <diagonal/>
    </border>
    <border>
      <left style="thin">
        <color rgb="FF356854"/>
      </left>
      <right style="thin">
        <color rgb="FF284E3F"/>
      </right>
      <top/>
      <bottom/>
      <diagonal/>
    </border>
    <border>
      <left/>
      <right style="thin">
        <color rgb="FFD1D5DB"/>
      </right>
      <top style="thin">
        <color rgb="FFD1D5DB"/>
      </top>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top style="medium">
        <color rgb="FFD1D1D1"/>
      </top>
      <bottom style="medium">
        <color rgb="FFEBEBEB"/>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thin">
        <color rgb="FFE0E0E0"/>
      </bottom>
      <diagonal/>
    </border>
    <border>
      <left style="thin">
        <color rgb="FF000000"/>
      </left>
      <right/>
      <top style="thin">
        <color rgb="FF000000"/>
      </top>
      <bottom style="thin">
        <color auto="1"/>
      </bottom>
      <diagonal/>
    </border>
    <border>
      <left/>
      <right style="thin">
        <color rgb="FF000000"/>
      </right>
      <top style="thin">
        <color rgb="FF000000"/>
      </top>
      <bottom style="thin">
        <color auto="1"/>
      </bottom>
      <diagonal/>
    </border>
    <border>
      <left style="thin">
        <color auto="1"/>
      </left>
      <right/>
      <top style="thin">
        <color auto="1"/>
      </top>
      <bottom style="thin">
        <color rgb="FF000000"/>
      </bottom>
      <diagonal/>
    </border>
    <border>
      <left/>
      <right style="thin">
        <color auto="1"/>
      </right>
      <top style="thin">
        <color auto="1"/>
      </top>
      <bottom style="thin">
        <color rgb="FF000000"/>
      </bottom>
      <diagonal/>
    </border>
    <border>
      <left/>
      <right style="thin">
        <color auto="1"/>
      </right>
      <top style="thin">
        <color rgb="FF000000"/>
      </top>
      <bottom style="thin">
        <color rgb="FF000000"/>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40404F"/>
      </left>
      <right style="thin">
        <color rgb="FF40404F"/>
      </right>
      <top style="thin">
        <color rgb="FF40404F"/>
      </top>
      <bottom style="thin">
        <color rgb="FF40404F"/>
      </bottom>
      <diagonal/>
    </border>
  </borders>
  <cellStyleXfs count="7">
    <xf numFmtId="0" fontId="0" fillId="0" borderId="0"/>
    <xf numFmtId="9" fontId="2" fillId="0" borderId="0" applyFont="0" applyFill="0" applyBorder="0" applyAlignment="0" applyProtection="0"/>
    <xf numFmtId="43" fontId="2"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cellStyleXfs>
  <cellXfs count="597">
    <xf numFmtId="0" fontId="0" fillId="0" borderId="0" xfId="0"/>
    <xf numFmtId="0" fontId="9" fillId="0" borderId="0" xfId="3" applyAlignment="1">
      <alignment vertical="top" wrapText="1"/>
    </xf>
    <xf numFmtId="0" fontId="11" fillId="0" borderId="6" xfId="3" applyFont="1" applyBorder="1"/>
    <xf numFmtId="0" fontId="5" fillId="2" borderId="0" xfId="0" applyFont="1" applyFill="1" applyAlignment="1">
      <alignment horizontal="center"/>
    </xf>
    <xf numFmtId="43" fontId="0" fillId="0" borderId="0" xfId="0" applyNumberFormat="1"/>
    <xf numFmtId="4" fontId="0" fillId="0" borderId="0" xfId="0" applyNumberFormat="1"/>
    <xf numFmtId="0" fontId="6" fillId="0" borderId="0" xfId="0" applyFont="1"/>
    <xf numFmtId="0" fontId="5" fillId="3" borderId="0" xfId="0" applyFont="1" applyFill="1" applyAlignment="1">
      <alignment horizontal="center"/>
    </xf>
    <xf numFmtId="0" fontId="0" fillId="3" borderId="0" xfId="0" applyFill="1"/>
    <xf numFmtId="0" fontId="5" fillId="2" borderId="0" xfId="0" applyFont="1" applyFill="1"/>
    <xf numFmtId="0" fontId="7" fillId="2" borderId="0" xfId="0" applyFont="1" applyFill="1"/>
    <xf numFmtId="0" fontId="0" fillId="2" borderId="0" xfId="0" applyFill="1"/>
    <xf numFmtId="17" fontId="5" fillId="2" borderId="0" xfId="0" applyNumberFormat="1" applyFont="1" applyFill="1"/>
    <xf numFmtId="0" fontId="0" fillId="3" borderId="0" xfId="0" applyFill="1" applyAlignment="1">
      <alignment horizontal="center"/>
    </xf>
    <xf numFmtId="164" fontId="0" fillId="0" borderId="0" xfId="0" applyNumberFormat="1"/>
    <xf numFmtId="164" fontId="7" fillId="0" borderId="1" xfId="0" applyNumberFormat="1" applyFont="1" applyBorder="1"/>
    <xf numFmtId="164" fontId="7" fillId="0" borderId="2" xfId="0" applyNumberFormat="1" applyFont="1" applyBorder="1"/>
    <xf numFmtId="0" fontId="7" fillId="0" borderId="3" xfId="0" applyFont="1" applyBorder="1"/>
    <xf numFmtId="164" fontId="7" fillId="0" borderId="3" xfId="0" applyNumberFormat="1" applyFont="1" applyBorder="1"/>
    <xf numFmtId="0" fontId="7" fillId="0" borderId="4" xfId="0" applyFont="1" applyBorder="1"/>
    <xf numFmtId="164" fontId="7" fillId="0" borderId="4" xfId="0" applyNumberFormat="1" applyFont="1" applyBorder="1"/>
    <xf numFmtId="0" fontId="8" fillId="0" borderId="0" xfId="0" applyFont="1"/>
    <xf numFmtId="0" fontId="7" fillId="0" borderId="0" xfId="0" applyFont="1"/>
    <xf numFmtId="10" fontId="0" fillId="0" borderId="0" xfId="0" applyNumberFormat="1"/>
    <xf numFmtId="165" fontId="0" fillId="0" borderId="0" xfId="0" applyNumberFormat="1"/>
    <xf numFmtId="166" fontId="0" fillId="0" borderId="0" xfId="0" applyNumberFormat="1"/>
    <xf numFmtId="0" fontId="7" fillId="3" borderId="0" xfId="0" applyFont="1" applyFill="1" applyAlignment="1">
      <alignment horizontal="center"/>
    </xf>
    <xf numFmtId="2" fontId="0" fillId="0" borderId="0" xfId="0" applyNumberFormat="1"/>
    <xf numFmtId="0" fontId="3" fillId="0" borderId="0" xfId="0" applyFont="1"/>
    <xf numFmtId="0" fontId="0" fillId="4" borderId="0" xfId="0" applyFill="1"/>
    <xf numFmtId="0" fontId="4" fillId="3" borderId="0" xfId="0" applyFont="1" applyFill="1" applyAlignment="1">
      <alignment horizontal="center"/>
    </xf>
    <xf numFmtId="9" fontId="0" fillId="0" borderId="0" xfId="0" applyNumberFormat="1"/>
    <xf numFmtId="0" fontId="7" fillId="0" borderId="0" xfId="3" applyFont="1"/>
    <xf numFmtId="0" fontId="9" fillId="0" borderId="0" xfId="3"/>
    <xf numFmtId="0" fontId="7" fillId="0" borderId="0" xfId="3" applyFont="1" applyAlignment="1">
      <alignment horizontal="right" vertical="center"/>
    </xf>
    <xf numFmtId="0" fontId="0" fillId="0" borderId="6" xfId="3" applyFont="1" applyBorder="1"/>
    <xf numFmtId="0" fontId="0" fillId="0" borderId="7" xfId="3" applyFont="1" applyBorder="1"/>
    <xf numFmtId="0" fontId="12" fillId="0" borderId="0" xfId="3" applyFont="1"/>
    <xf numFmtId="0" fontId="13" fillId="6" borderId="8" xfId="3" applyFont="1" applyFill="1" applyBorder="1" applyAlignment="1">
      <alignment horizontal="center"/>
    </xf>
    <xf numFmtId="0" fontId="13" fillId="6" borderId="7" xfId="3" applyFont="1" applyFill="1" applyBorder="1" applyAlignment="1">
      <alignment horizontal="center"/>
    </xf>
    <xf numFmtId="0" fontId="3" fillId="0" borderId="0" xfId="3" applyFont="1" applyAlignment="1">
      <alignment horizontal="right"/>
    </xf>
    <xf numFmtId="3" fontId="12" fillId="0" borderId="9" xfId="3" applyNumberFormat="1" applyFont="1" applyBorder="1"/>
    <xf numFmtId="3" fontId="12" fillId="0" borderId="10" xfId="3" applyNumberFormat="1" applyFont="1" applyBorder="1"/>
    <xf numFmtId="4" fontId="12" fillId="0" borderId="10" xfId="3" applyNumberFormat="1" applyFont="1" applyBorder="1"/>
    <xf numFmtId="0" fontId="12" fillId="0" borderId="10" xfId="3" applyFont="1" applyBorder="1"/>
    <xf numFmtId="0" fontId="12" fillId="0" borderId="9" xfId="3" applyFont="1" applyBorder="1"/>
    <xf numFmtId="10" fontId="0" fillId="0" borderId="8" xfId="3" applyNumberFormat="1" applyFont="1" applyBorder="1"/>
    <xf numFmtId="0" fontId="0" fillId="0" borderId="8" xfId="3" applyFont="1" applyBorder="1"/>
    <xf numFmtId="2" fontId="12" fillId="0" borderId="10" xfId="3" applyNumberFormat="1" applyFont="1" applyBorder="1"/>
    <xf numFmtId="1" fontId="12" fillId="0" borderId="10" xfId="3" applyNumberFormat="1" applyFont="1" applyBorder="1"/>
    <xf numFmtId="0" fontId="12" fillId="0" borderId="10" xfId="3" applyFont="1" applyBorder="1" applyAlignment="1">
      <alignment horizontal="center"/>
    </xf>
    <xf numFmtId="0" fontId="9" fillId="0" borderId="0" xfId="4"/>
    <xf numFmtId="0" fontId="0" fillId="0" borderId="0" xfId="4" applyFont="1"/>
    <xf numFmtId="0" fontId="3" fillId="0" borderId="0" xfId="4" applyFont="1" applyAlignment="1">
      <alignment horizontal="right"/>
    </xf>
    <xf numFmtId="0" fontId="0" fillId="0" borderId="6" xfId="4" applyFont="1" applyBorder="1"/>
    <xf numFmtId="0" fontId="0" fillId="0" borderId="7" xfId="4" applyFont="1" applyBorder="1"/>
    <xf numFmtId="0" fontId="0" fillId="0" borderId="5" xfId="4" applyFont="1" applyBorder="1"/>
    <xf numFmtId="0" fontId="7" fillId="0" borderId="11" xfId="4" applyFont="1" applyBorder="1" applyAlignment="1">
      <alignment horizontal="center" vertical="center" wrapText="1"/>
    </xf>
    <xf numFmtId="0" fontId="7" fillId="0" borderId="11" xfId="4" applyFont="1" applyBorder="1" applyAlignment="1">
      <alignment vertical="center" wrapText="1"/>
    </xf>
    <xf numFmtId="3" fontId="9" fillId="0" borderId="11" xfId="4" applyNumberFormat="1" applyBorder="1" applyAlignment="1">
      <alignment vertical="center" wrapText="1"/>
    </xf>
    <xf numFmtId="0" fontId="9" fillId="0" borderId="11" xfId="4" applyBorder="1" applyAlignment="1">
      <alignment vertical="center" wrapText="1"/>
    </xf>
    <xf numFmtId="0" fontId="0" fillId="0" borderId="11" xfId="4" applyFont="1" applyBorder="1"/>
    <xf numFmtId="0" fontId="15" fillId="8" borderId="0" xfId="3" applyFont="1" applyFill="1"/>
    <xf numFmtId="3" fontId="16" fillId="9" borderId="8" xfId="3" applyNumberFormat="1" applyFont="1" applyFill="1" applyBorder="1" applyAlignment="1">
      <alignment horizontal="right"/>
    </xf>
    <xf numFmtId="3" fontId="16" fillId="8" borderId="8" xfId="3" applyNumberFormat="1" applyFont="1" applyFill="1" applyBorder="1" applyAlignment="1">
      <alignment horizontal="right"/>
    </xf>
    <xf numFmtId="3" fontId="17" fillId="0" borderId="8" xfId="3" applyNumberFormat="1" applyFont="1" applyBorder="1"/>
    <xf numFmtId="0" fontId="16" fillId="9" borderId="8" xfId="3" applyFont="1" applyFill="1" applyBorder="1" applyAlignment="1">
      <alignment horizontal="right"/>
    </xf>
    <xf numFmtId="0" fontId="9" fillId="0" borderId="8" xfId="3" applyBorder="1"/>
    <xf numFmtId="0" fontId="7" fillId="0" borderId="0" xfId="3" applyFont="1" applyAlignment="1">
      <alignment horizontal="right"/>
    </xf>
    <xf numFmtId="0" fontId="0" fillId="0" borderId="0" xfId="3" applyFont="1"/>
    <xf numFmtId="0" fontId="11" fillId="0" borderId="12" xfId="3" applyFont="1" applyBorder="1"/>
    <xf numFmtId="10" fontId="9" fillId="0" borderId="0" xfId="3" applyNumberFormat="1"/>
    <xf numFmtId="2" fontId="17" fillId="0" borderId="0" xfId="3" applyNumberFormat="1" applyFont="1" applyAlignment="1">
      <alignment horizontal="right"/>
    </xf>
    <xf numFmtId="2" fontId="17" fillId="0" borderId="19" xfId="3" applyNumberFormat="1" applyFont="1" applyBorder="1" applyAlignment="1">
      <alignment horizontal="right"/>
    </xf>
    <xf numFmtId="10" fontId="9" fillId="0" borderId="19" xfId="3" applyNumberFormat="1" applyBorder="1" applyAlignment="1">
      <alignment horizontal="right"/>
    </xf>
    <xf numFmtId="0" fontId="0" fillId="0" borderId="19" xfId="3" applyFont="1" applyBorder="1" applyAlignment="1">
      <alignment horizontal="right"/>
    </xf>
    <xf numFmtId="0" fontId="11" fillId="0" borderId="0" xfId="3" applyFont="1"/>
    <xf numFmtId="0" fontId="7" fillId="0" borderId="0" xfId="3" applyFont="1" applyAlignment="1">
      <alignment horizontal="left" vertical="center"/>
    </xf>
    <xf numFmtId="10" fontId="0" fillId="0" borderId="8" xfId="3" applyNumberFormat="1" applyFont="1" applyBorder="1" applyAlignment="1">
      <alignment horizontal="right"/>
    </xf>
    <xf numFmtId="2" fontId="9" fillId="0" borderId="8" xfId="3" applyNumberFormat="1" applyBorder="1" applyAlignment="1">
      <alignment horizontal="right"/>
    </xf>
    <xf numFmtId="10" fontId="16" fillId="8" borderId="5" xfId="3" applyNumberFormat="1" applyFont="1" applyFill="1" applyBorder="1" applyAlignment="1">
      <alignment horizontal="right"/>
    </xf>
    <xf numFmtId="0" fontId="9" fillId="0" borderId="0" xfId="0" applyFont="1"/>
    <xf numFmtId="0" fontId="32" fillId="0" borderId="20" xfId="0" applyFont="1" applyBorder="1"/>
    <xf numFmtId="0" fontId="48" fillId="0" borderId="6" xfId="0" applyFont="1" applyBorder="1" applyAlignment="1">
      <alignment wrapText="1"/>
    </xf>
    <xf numFmtId="0" fontId="17" fillId="0" borderId="6" xfId="0" applyFont="1" applyBorder="1"/>
    <xf numFmtId="0" fontId="17" fillId="0" borderId="7" xfId="0" applyFont="1" applyBorder="1"/>
    <xf numFmtId="0" fontId="17" fillId="0" borderId="0" xfId="0" applyFont="1"/>
    <xf numFmtId="0" fontId="32" fillId="0" borderId="8" xfId="0" applyFont="1" applyBorder="1" applyAlignment="1">
      <alignment horizontal="left" vertical="center"/>
    </xf>
    <xf numFmtId="0" fontId="32" fillId="0" borderId="15" xfId="0" applyFont="1" applyBorder="1"/>
    <xf numFmtId="174" fontId="47" fillId="0" borderId="15" xfId="0" applyNumberFormat="1" applyFont="1" applyBorder="1"/>
    <xf numFmtId="0" fontId="17" fillId="0" borderId="16" xfId="0" applyFont="1" applyBorder="1"/>
    <xf numFmtId="0" fontId="17" fillId="0" borderId="10" xfId="0" applyFont="1" applyBorder="1"/>
    <xf numFmtId="0" fontId="17" fillId="0" borderId="15" xfId="0" applyFont="1" applyBorder="1"/>
    <xf numFmtId="0" fontId="46" fillId="0" borderId="16" xfId="0" applyFont="1" applyBorder="1"/>
    <xf numFmtId="0" fontId="12" fillId="0" borderId="0" xfId="0" applyFont="1"/>
    <xf numFmtId="0" fontId="13" fillId="6" borderId="8" xfId="0" applyFont="1" applyFill="1" applyBorder="1"/>
    <xf numFmtId="0" fontId="13" fillId="6" borderId="7" xfId="0" applyFont="1" applyFill="1" applyBorder="1"/>
    <xf numFmtId="0" fontId="32" fillId="0" borderId="0" xfId="0" applyFont="1"/>
    <xf numFmtId="3" fontId="12" fillId="0" borderId="11" xfId="0" applyNumberFormat="1" applyFont="1" applyBorder="1"/>
    <xf numFmtId="3" fontId="12" fillId="0" borderId="22" xfId="0" applyNumberFormat="1" applyFont="1" applyBorder="1"/>
    <xf numFmtId="3" fontId="12" fillId="0" borderId="23" xfId="0" applyNumberFormat="1" applyFont="1" applyBorder="1"/>
    <xf numFmtId="3" fontId="12" fillId="0" borderId="24" xfId="0" applyNumberFormat="1" applyFont="1" applyBorder="1"/>
    <xf numFmtId="0" fontId="12" fillId="0" borderId="23" xfId="0" applyFont="1" applyBorder="1"/>
    <xf numFmtId="0" fontId="12" fillId="0" borderId="24" xfId="0" applyFont="1" applyBorder="1"/>
    <xf numFmtId="0" fontId="32" fillId="0" borderId="18" xfId="0" applyFont="1" applyBorder="1" applyAlignment="1">
      <alignment horizontal="center" wrapText="1"/>
    </xf>
    <xf numFmtId="0" fontId="12" fillId="0" borderId="15" xfId="0" applyFont="1" applyBorder="1" applyAlignment="1">
      <alignment horizontal="center"/>
    </xf>
    <xf numFmtId="0" fontId="0" fillId="0" borderId="20" xfId="0" applyBorder="1" applyAlignment="1">
      <alignment horizontal="center" wrapText="1"/>
    </xf>
    <xf numFmtId="0" fontId="32" fillId="0" borderId="0" xfId="0" applyFont="1" applyAlignment="1">
      <alignment horizontal="center" wrapText="1"/>
    </xf>
    <xf numFmtId="0" fontId="12" fillId="10" borderId="25" xfId="0" applyFont="1" applyFill="1" applyBorder="1" applyAlignment="1">
      <alignment wrapText="1"/>
    </xf>
    <xf numFmtId="0" fontId="12" fillId="10" borderId="26" xfId="0" applyFont="1" applyFill="1" applyBorder="1"/>
    <xf numFmtId="0" fontId="12" fillId="11" borderId="27" xfId="0" applyFont="1" applyFill="1" applyBorder="1" applyAlignment="1">
      <alignment wrapText="1"/>
    </xf>
    <xf numFmtId="0" fontId="13" fillId="6" borderId="8" xfId="0" applyFont="1" applyFill="1" applyBorder="1" applyAlignment="1">
      <alignment horizontal="right"/>
    </xf>
    <xf numFmtId="0" fontId="13" fillId="6" borderId="7" xfId="0" applyFont="1" applyFill="1" applyBorder="1" applyAlignment="1">
      <alignment horizontal="right"/>
    </xf>
    <xf numFmtId="2" fontId="12" fillId="0" borderId="9" xfId="0" applyNumberFormat="1" applyFont="1" applyBorder="1" applyAlignment="1">
      <alignment horizontal="right"/>
    </xf>
    <xf numFmtId="2" fontId="12" fillId="0" borderId="10" xfId="0" applyNumberFormat="1" applyFont="1" applyBorder="1" applyAlignment="1">
      <alignment horizontal="right"/>
    </xf>
    <xf numFmtId="0" fontId="12" fillId="0" borderId="10" xfId="0" applyFont="1" applyBorder="1" applyAlignment="1">
      <alignment horizontal="right"/>
    </xf>
    <xf numFmtId="3" fontId="12" fillId="0" borderId="10" xfId="0" applyNumberFormat="1" applyFont="1" applyBorder="1" applyAlignment="1">
      <alignment horizontal="right"/>
    </xf>
    <xf numFmtId="0" fontId="12" fillId="0" borderId="9" xfId="0" applyFont="1" applyBorder="1" applyAlignment="1">
      <alignment horizontal="right"/>
    </xf>
    <xf numFmtId="0" fontId="36" fillId="8" borderId="10" xfId="0" applyFont="1" applyFill="1" applyBorder="1" applyAlignment="1">
      <alignment horizontal="right"/>
    </xf>
    <xf numFmtId="3" fontId="12" fillId="0" borderId="21" xfId="0" applyNumberFormat="1" applyFont="1" applyBorder="1" applyAlignment="1">
      <alignment horizontal="right"/>
    </xf>
    <xf numFmtId="3" fontId="12" fillId="0" borderId="18" xfId="0" applyNumberFormat="1" applyFont="1" applyBorder="1" applyAlignment="1">
      <alignment horizontal="right"/>
    </xf>
    <xf numFmtId="0" fontId="9" fillId="0" borderId="5" xfId="0" applyFont="1" applyBorder="1"/>
    <xf numFmtId="0" fontId="12" fillId="0" borderId="8" xfId="0" applyFont="1" applyBorder="1" applyAlignment="1">
      <alignment horizontal="right"/>
    </xf>
    <xf numFmtId="10" fontId="12" fillId="0" borderId="8" xfId="0" applyNumberFormat="1" applyFont="1" applyBorder="1"/>
    <xf numFmtId="10" fontId="12" fillId="0" borderId="7" xfId="0" applyNumberFormat="1" applyFont="1" applyBorder="1"/>
    <xf numFmtId="0" fontId="12" fillId="0" borderId="9" xfId="0" applyFont="1" applyBorder="1"/>
    <xf numFmtId="0" fontId="12" fillId="0" borderId="10" xfId="0" applyFont="1" applyBorder="1"/>
    <xf numFmtId="10" fontId="12" fillId="0" borderId="9" xfId="0" applyNumberFormat="1" applyFont="1" applyBorder="1"/>
    <xf numFmtId="10" fontId="12" fillId="0" borderId="10" xfId="0" applyNumberFormat="1" applyFont="1" applyBorder="1"/>
    <xf numFmtId="2" fontId="12" fillId="0" borderId="10" xfId="0" applyNumberFormat="1" applyFont="1" applyBorder="1"/>
    <xf numFmtId="0" fontId="12" fillId="0" borderId="8" xfId="0" applyFont="1" applyBorder="1"/>
    <xf numFmtId="0" fontId="12" fillId="0" borderId="7" xfId="0" applyFont="1" applyBorder="1"/>
    <xf numFmtId="0" fontId="32" fillId="0" borderId="0" xfId="0" applyFont="1" applyAlignment="1">
      <alignment wrapText="1"/>
    </xf>
    <xf numFmtId="0" fontId="12" fillId="0" borderId="5" xfId="0" applyFont="1" applyBorder="1" applyAlignment="1">
      <alignment horizontal="center" vertical="center"/>
    </xf>
    <xf numFmtId="0" fontId="9" fillId="0" borderId="8" xfId="0" applyFont="1" applyBorder="1" applyAlignment="1">
      <alignment horizontal="left" vertical="center" wrapText="1"/>
    </xf>
    <xf numFmtId="0" fontId="9" fillId="0" borderId="0" xfId="0" applyFont="1" applyAlignment="1">
      <alignment wrapText="1"/>
    </xf>
    <xf numFmtId="0" fontId="7" fillId="0" borderId="0" xfId="0" applyFont="1" applyAlignment="1">
      <alignment horizontal="center" wrapText="1"/>
    </xf>
    <xf numFmtId="0" fontId="12" fillId="0" borderId="15" xfId="0" applyFont="1" applyBorder="1" applyAlignment="1">
      <alignment horizontal="center" vertical="center"/>
    </xf>
    <xf numFmtId="0" fontId="9" fillId="0" borderId="9" xfId="0" applyFont="1" applyBorder="1" applyAlignment="1">
      <alignment horizontal="left" vertical="center" wrapText="1"/>
    </xf>
    <xf numFmtId="0" fontId="7" fillId="0" borderId="0" xfId="0" applyFont="1" applyAlignment="1">
      <alignment horizontal="left"/>
    </xf>
    <xf numFmtId="0" fontId="7" fillId="0" borderId="0" xfId="0" applyFont="1" applyAlignment="1">
      <alignment horizontal="left" wrapText="1"/>
    </xf>
    <xf numFmtId="0" fontId="22" fillId="10" borderId="28" xfId="0" applyFont="1" applyFill="1" applyBorder="1" applyAlignment="1">
      <alignment horizontal="center" wrapText="1"/>
    </xf>
    <xf numFmtId="0" fontId="22" fillId="10" borderId="29" xfId="0" applyFont="1" applyFill="1" applyBorder="1" applyAlignment="1">
      <alignment horizontal="center"/>
    </xf>
    <xf numFmtId="0" fontId="9" fillId="0" borderId="13" xfId="0" applyFont="1" applyBorder="1" applyAlignment="1">
      <alignment wrapText="1"/>
    </xf>
    <xf numFmtId="0" fontId="9" fillId="0" borderId="20" xfId="0" applyFont="1" applyBorder="1" applyAlignment="1">
      <alignment wrapText="1"/>
    </xf>
    <xf numFmtId="0" fontId="9" fillId="12" borderId="20" xfId="0" applyFont="1" applyFill="1" applyBorder="1" applyAlignment="1">
      <alignment wrapText="1"/>
    </xf>
    <xf numFmtId="0" fontId="9" fillId="12" borderId="14" xfId="0" applyFont="1" applyFill="1" applyBorder="1" applyAlignment="1">
      <alignment wrapText="1"/>
    </xf>
    <xf numFmtId="0" fontId="9" fillId="0" borderId="14" xfId="0" applyFont="1" applyBorder="1" applyAlignment="1">
      <alignment wrapText="1"/>
    </xf>
    <xf numFmtId="0" fontId="9" fillId="0" borderId="13" xfId="0" applyFont="1" applyBorder="1" applyAlignment="1">
      <alignment horizontal="left" vertical="center" wrapText="1"/>
    </xf>
    <xf numFmtId="0" fontId="9" fillId="12" borderId="13" xfId="0" applyFont="1" applyFill="1" applyBorder="1" applyAlignment="1">
      <alignment wrapText="1"/>
    </xf>
    <xf numFmtId="0" fontId="9" fillId="12" borderId="20" xfId="0" applyFont="1" applyFill="1" applyBorder="1"/>
    <xf numFmtId="0" fontId="9" fillId="0" borderId="5" xfId="0" applyFont="1" applyBorder="1" applyAlignment="1">
      <alignment wrapText="1"/>
    </xf>
    <xf numFmtId="0" fontId="9" fillId="0" borderId="20" xfId="0" applyFont="1" applyBorder="1"/>
    <xf numFmtId="0" fontId="9" fillId="12" borderId="15" xfId="0" applyFont="1" applyFill="1" applyBorder="1" applyAlignment="1">
      <alignment wrapText="1"/>
    </xf>
    <xf numFmtId="0" fontId="9" fillId="12" borderId="8" xfId="0" applyFont="1" applyFill="1" applyBorder="1"/>
    <xf numFmtId="0" fontId="40" fillId="0" borderId="6" xfId="0" applyFont="1" applyBorder="1" applyAlignment="1">
      <alignment wrapText="1"/>
    </xf>
    <xf numFmtId="0" fontId="43" fillId="0" borderId="15" xfId="0" applyFont="1" applyBorder="1"/>
    <xf numFmtId="0" fontId="43" fillId="0" borderId="16" xfId="0" applyFont="1" applyBorder="1"/>
    <xf numFmtId="3" fontId="41" fillId="0" borderId="24" xfId="0" applyNumberFormat="1" applyFont="1" applyBorder="1"/>
    <xf numFmtId="9" fontId="12" fillId="0" borderId="8" xfId="0" applyNumberFormat="1" applyFont="1" applyBorder="1"/>
    <xf numFmtId="9" fontId="12" fillId="0" borderId="7" xfId="0" applyNumberFormat="1" applyFont="1" applyBorder="1"/>
    <xf numFmtId="0" fontId="12" fillId="0" borderId="21" xfId="0" applyFont="1" applyBorder="1"/>
    <xf numFmtId="0" fontId="9" fillId="0" borderId="8" xfId="0" applyFont="1" applyBorder="1"/>
    <xf numFmtId="0" fontId="9" fillId="0" borderId="15" xfId="0" applyFont="1" applyBorder="1"/>
    <xf numFmtId="3" fontId="12" fillId="0" borderId="9" xfId="0" applyNumberFormat="1" applyFont="1" applyBorder="1"/>
    <xf numFmtId="3" fontId="12" fillId="0" borderId="10" xfId="0" applyNumberFormat="1" applyFont="1" applyBorder="1"/>
    <xf numFmtId="3" fontId="36" fillId="8" borderId="10" xfId="0" applyNumberFormat="1" applyFont="1" applyFill="1" applyBorder="1"/>
    <xf numFmtId="4" fontId="12" fillId="0" borderId="10" xfId="0" applyNumberFormat="1" applyFont="1" applyBorder="1"/>
    <xf numFmtId="0" fontId="12" fillId="0" borderId="18" xfId="0" applyFont="1" applyBorder="1"/>
    <xf numFmtId="0" fontId="12" fillId="0" borderId="16" xfId="0" applyFont="1" applyBorder="1"/>
    <xf numFmtId="0" fontId="32" fillId="0" borderId="0" xfId="0" applyFont="1" applyAlignment="1">
      <alignment horizontal="center" vertical="center" wrapText="1"/>
    </xf>
    <xf numFmtId="0" fontId="12" fillId="0" borderId="20" xfId="0" applyFont="1" applyBorder="1" applyAlignment="1">
      <alignment horizontal="center" vertical="center"/>
    </xf>
    <xf numFmtId="0" fontId="9" fillId="0" borderId="7" xfId="0" applyFont="1" applyBorder="1" applyAlignment="1">
      <alignment horizontal="center" vertical="center" wrapText="1"/>
    </xf>
    <xf numFmtId="0" fontId="12" fillId="0" borderId="8" xfId="0" applyFont="1" applyBorder="1" applyAlignment="1">
      <alignment horizontal="center" vertical="center"/>
    </xf>
    <xf numFmtId="0" fontId="12" fillId="10" borderId="28" xfId="0" applyFont="1" applyFill="1" applyBorder="1" applyAlignment="1">
      <alignment wrapText="1"/>
    </xf>
    <xf numFmtId="0" fontId="12" fillId="10" borderId="29" xfId="0" applyFont="1" applyFill="1" applyBorder="1"/>
    <xf numFmtId="0" fontId="9" fillId="0" borderId="8" xfId="0" applyFont="1" applyBorder="1" applyAlignment="1">
      <alignment wrapText="1"/>
    </xf>
    <xf numFmtId="0" fontId="9" fillId="0" borderId="7" xfId="0" applyFont="1" applyBorder="1" applyAlignment="1">
      <alignment vertical="center" wrapText="1"/>
    </xf>
    <xf numFmtId="0" fontId="9" fillId="12" borderId="9" xfId="0" applyFont="1" applyFill="1" applyBorder="1" applyAlignment="1">
      <alignment wrapText="1"/>
    </xf>
    <xf numFmtId="0" fontId="9" fillId="12" borderId="18" xfId="0" applyFont="1" applyFill="1" applyBorder="1" applyAlignment="1">
      <alignment vertical="center" wrapText="1"/>
    </xf>
    <xf numFmtId="0" fontId="9" fillId="0" borderId="9" xfId="0" applyFont="1" applyBorder="1" applyAlignment="1">
      <alignment vertical="center" wrapText="1"/>
    </xf>
    <xf numFmtId="0" fontId="9" fillId="12" borderId="14" xfId="0" applyFont="1" applyFill="1" applyBorder="1" applyAlignment="1">
      <alignment vertical="center" wrapText="1"/>
    </xf>
    <xf numFmtId="0" fontId="9" fillId="0" borderId="9" xfId="0" applyFont="1" applyBorder="1" applyAlignment="1">
      <alignment wrapText="1"/>
    </xf>
    <xf numFmtId="0" fontId="9" fillId="0" borderId="14" xfId="0" applyFont="1" applyBorder="1" applyAlignment="1">
      <alignment vertical="center" wrapText="1"/>
    </xf>
    <xf numFmtId="0" fontId="9" fillId="12" borderId="21" xfId="0" applyFont="1" applyFill="1" applyBorder="1" applyAlignment="1">
      <alignment wrapText="1"/>
    </xf>
    <xf numFmtId="0" fontId="9" fillId="12" borderId="14" xfId="0" applyFont="1" applyFill="1" applyBorder="1"/>
    <xf numFmtId="0" fontId="39" fillId="0" borderId="15" xfId="0" applyFont="1" applyBorder="1"/>
    <xf numFmtId="0" fontId="39" fillId="0" borderId="16" xfId="0" applyFont="1" applyBorder="1" applyAlignment="1">
      <alignment wrapText="1"/>
    </xf>
    <xf numFmtId="0" fontId="22" fillId="10" borderId="25" xfId="0" applyFont="1" applyFill="1" applyBorder="1" applyAlignment="1">
      <alignment wrapText="1"/>
    </xf>
    <xf numFmtId="0" fontId="22" fillId="10" borderId="26" xfId="0" applyFont="1" applyFill="1" applyBorder="1"/>
    <xf numFmtId="0" fontId="13" fillId="6" borderId="20" xfId="0" applyFont="1" applyFill="1" applyBorder="1" applyAlignment="1">
      <alignment horizontal="right"/>
    </xf>
    <xf numFmtId="0" fontId="13" fillId="6" borderId="14" xfId="0" applyFont="1" applyFill="1" applyBorder="1" applyAlignment="1">
      <alignment horizontal="right"/>
    </xf>
    <xf numFmtId="3" fontId="36" fillId="3" borderId="13" xfId="0" applyNumberFormat="1" applyFont="1" applyFill="1" applyBorder="1" applyAlignment="1">
      <alignment wrapText="1"/>
    </xf>
    <xf numFmtId="3" fontId="36" fillId="3" borderId="8" xfId="0" applyNumberFormat="1" applyFont="1" applyFill="1" applyBorder="1" applyAlignment="1">
      <alignment wrapText="1"/>
    </xf>
    <xf numFmtId="3" fontId="36" fillId="3" borderId="12" xfId="0" applyNumberFormat="1" applyFont="1" applyFill="1" applyBorder="1" applyAlignment="1">
      <alignment wrapText="1"/>
    </xf>
    <xf numFmtId="3" fontId="36" fillId="3" borderId="20" xfId="0" applyNumberFormat="1" applyFont="1" applyFill="1" applyBorder="1" applyAlignment="1">
      <alignment wrapText="1"/>
    </xf>
    <xf numFmtId="3" fontId="36" fillId="3" borderId="9" xfId="0" applyNumberFormat="1" applyFont="1" applyFill="1" applyBorder="1" applyAlignment="1">
      <alignment wrapText="1"/>
    </xf>
    <xf numFmtId="3" fontId="36" fillId="3" borderId="6" xfId="0" applyNumberFormat="1" applyFont="1" applyFill="1" applyBorder="1" applyAlignment="1">
      <alignment wrapText="1"/>
    </xf>
    <xf numFmtId="3" fontId="36" fillId="3" borderId="5" xfId="0" applyNumberFormat="1" applyFont="1" applyFill="1" applyBorder="1" applyAlignment="1">
      <alignment wrapText="1"/>
    </xf>
    <xf numFmtId="3" fontId="12" fillId="3" borderId="8" xfId="0" applyNumberFormat="1" applyFont="1" applyFill="1" applyBorder="1"/>
    <xf numFmtId="3" fontId="12" fillId="3" borderId="18" xfId="0" applyNumberFormat="1" applyFont="1" applyFill="1" applyBorder="1"/>
    <xf numFmtId="0" fontId="12" fillId="3" borderId="0" xfId="0" applyFont="1" applyFill="1"/>
    <xf numFmtId="0" fontId="36" fillId="3" borderId="9" xfId="0" applyFont="1" applyFill="1" applyBorder="1" applyAlignment="1">
      <alignment wrapText="1"/>
    </xf>
    <xf numFmtId="0" fontId="36" fillId="3" borderId="7" xfId="0" applyFont="1" applyFill="1" applyBorder="1" applyAlignment="1">
      <alignment wrapText="1"/>
    </xf>
    <xf numFmtId="0" fontId="36" fillId="3" borderId="6" xfId="0" applyFont="1" applyFill="1" applyBorder="1" applyAlignment="1">
      <alignment wrapText="1"/>
    </xf>
    <xf numFmtId="0" fontId="36" fillId="3" borderId="21" xfId="0" applyFont="1" applyFill="1" applyBorder="1" applyAlignment="1">
      <alignment wrapText="1"/>
    </xf>
    <xf numFmtId="0" fontId="12" fillId="0" borderId="18" xfId="0" applyFont="1" applyBorder="1" applyAlignment="1">
      <alignment wrapText="1"/>
    </xf>
    <xf numFmtId="0" fontId="35" fillId="13" borderId="16" xfId="0" applyFont="1" applyFill="1" applyBorder="1" applyAlignment="1">
      <alignment wrapText="1"/>
    </xf>
    <xf numFmtId="0" fontId="35" fillId="13" borderId="8" xfId="0" applyFont="1" applyFill="1" applyBorder="1" applyAlignment="1">
      <alignment wrapText="1"/>
    </xf>
    <xf numFmtId="0" fontId="0" fillId="13" borderId="7" xfId="0" applyFill="1" applyBorder="1" applyAlignment="1">
      <alignment wrapText="1"/>
    </xf>
    <xf numFmtId="0" fontId="34" fillId="13" borderId="7" xfId="0" applyFont="1" applyFill="1" applyBorder="1" applyAlignment="1">
      <alignment wrapText="1"/>
    </xf>
    <xf numFmtId="0" fontId="33" fillId="13" borderId="30" xfId="0" applyFont="1" applyFill="1" applyBorder="1"/>
    <xf numFmtId="0" fontId="33" fillId="3" borderId="30" xfId="0" applyFont="1" applyFill="1" applyBorder="1"/>
    <xf numFmtId="10" fontId="12" fillId="0" borderId="8" xfId="0" applyNumberFormat="1" applyFont="1" applyBorder="1" applyAlignment="1">
      <alignment horizontal="right"/>
    </xf>
    <xf numFmtId="0" fontId="9" fillId="0" borderId="8" xfId="0" applyFont="1" applyBorder="1" applyAlignment="1">
      <alignment horizontal="right"/>
    </xf>
    <xf numFmtId="0" fontId="32" fillId="0" borderId="8" xfId="0" applyFont="1" applyBorder="1" applyAlignment="1">
      <alignment horizontal="center" vertical="center" wrapText="1"/>
    </xf>
    <xf numFmtId="0" fontId="22" fillId="10" borderId="28" xfId="0" applyFont="1" applyFill="1" applyBorder="1" applyAlignment="1">
      <alignment wrapText="1"/>
    </xf>
    <xf numFmtId="0" fontId="22" fillId="10" borderId="29" xfId="0" applyFont="1" applyFill="1" applyBorder="1"/>
    <xf numFmtId="0" fontId="9" fillId="12" borderId="8" xfId="0" applyFont="1" applyFill="1" applyBorder="1" applyAlignment="1">
      <alignment wrapText="1"/>
    </xf>
    <xf numFmtId="0" fontId="9" fillId="12" borderId="0" xfId="0" applyFont="1" applyFill="1" applyAlignment="1">
      <alignment wrapText="1"/>
    </xf>
    <xf numFmtId="0" fontId="9" fillId="12" borderId="5" xfId="0" applyFont="1" applyFill="1" applyBorder="1" applyAlignment="1">
      <alignment wrapText="1"/>
    </xf>
    <xf numFmtId="0" fontId="7" fillId="0" borderId="11" xfId="0" applyFont="1" applyBorder="1" applyAlignment="1">
      <alignment horizontal="right" vertical="center"/>
    </xf>
    <xf numFmtId="0" fontId="7" fillId="0" borderId="0" xfId="0" applyFont="1" applyAlignment="1">
      <alignment horizontal="center" vertical="center"/>
    </xf>
    <xf numFmtId="0" fontId="0" fillId="0" borderId="0" xfId="0" applyAlignment="1">
      <alignment horizontal="left" wrapText="1"/>
    </xf>
    <xf numFmtId="0" fontId="12" fillId="0" borderId="11" xfId="0" applyFont="1" applyBorder="1"/>
    <xf numFmtId="0" fontId="24" fillId="14" borderId="11" xfId="0" applyFont="1" applyFill="1" applyBorder="1" applyAlignment="1">
      <alignment horizontal="center"/>
    </xf>
    <xf numFmtId="0" fontId="7" fillId="0" borderId="0" xfId="0" applyFont="1" applyAlignment="1">
      <alignment horizontal="center"/>
    </xf>
    <xf numFmtId="0" fontId="3" fillId="0" borderId="11" xfId="0" applyFont="1" applyBorder="1" applyAlignment="1">
      <alignment horizontal="right"/>
    </xf>
    <xf numFmtId="3" fontId="9" fillId="0" borderId="0" xfId="0" applyNumberFormat="1" applyFont="1"/>
    <xf numFmtId="2" fontId="12" fillId="0" borderId="11" xfId="0" applyNumberFormat="1" applyFont="1" applyBorder="1"/>
    <xf numFmtId="0" fontId="0" fillId="0" borderId="11" xfId="0" applyBorder="1"/>
    <xf numFmtId="0" fontId="7" fillId="0" borderId="11" xfId="0" applyFont="1" applyBorder="1"/>
    <xf numFmtId="10" fontId="0" fillId="0" borderId="11" xfId="0" applyNumberFormat="1" applyBorder="1"/>
    <xf numFmtId="2" fontId="0" fillId="0" borderId="11" xfId="0" applyNumberFormat="1" applyBorder="1"/>
    <xf numFmtId="4" fontId="0" fillId="0" borderId="11" xfId="0" applyNumberFormat="1" applyBorder="1"/>
    <xf numFmtId="10" fontId="9" fillId="0" borderId="11" xfId="0" applyNumberFormat="1" applyFont="1" applyBorder="1"/>
    <xf numFmtId="0" fontId="7" fillId="0" borderId="0" xfId="0" applyFont="1" applyAlignment="1">
      <alignment horizontal="right" vertical="center"/>
    </xf>
    <xf numFmtId="0" fontId="0" fillId="0" borderId="8" xfId="0" applyBorder="1"/>
    <xf numFmtId="0" fontId="0" fillId="0" borderId="11" xfId="0" applyBorder="1" applyAlignment="1">
      <alignment horizontal="left"/>
    </xf>
    <xf numFmtId="0" fontId="7" fillId="0" borderId="35" xfId="0" applyFont="1" applyBorder="1" applyAlignment="1">
      <alignment horizontal="center" vertical="center"/>
    </xf>
    <xf numFmtId="0" fontId="0" fillId="0" borderId="35" xfId="0" applyBorder="1" applyAlignment="1">
      <alignment horizontal="left" wrapText="1"/>
    </xf>
    <xf numFmtId="9" fontId="31" fillId="13" borderId="0" xfId="0" applyNumberFormat="1" applyFont="1" applyFill="1" applyAlignment="1">
      <alignment horizontal="right" vertical="center" wrapText="1"/>
    </xf>
    <xf numFmtId="0" fontId="30" fillId="13" borderId="36" xfId="0" applyFont="1" applyFill="1" applyBorder="1" applyAlignment="1">
      <alignment horizontal="right" vertical="top" wrapText="1"/>
    </xf>
    <xf numFmtId="0" fontId="29" fillId="13" borderId="36" xfId="0" applyFont="1" applyFill="1" applyBorder="1" applyAlignment="1">
      <alignment horizontal="right" vertical="top" wrapText="1"/>
    </xf>
    <xf numFmtId="0" fontId="7" fillId="0" borderId="0" xfId="0" applyFont="1" applyAlignment="1">
      <alignment vertical="center"/>
    </xf>
    <xf numFmtId="0" fontId="7" fillId="0" borderId="23" xfId="0" applyFont="1" applyBorder="1" applyAlignment="1">
      <alignment horizontal="right" vertical="center"/>
    </xf>
    <xf numFmtId="0" fontId="9" fillId="0" borderId="11" xfId="0" applyFont="1" applyBorder="1"/>
    <xf numFmtId="0" fontId="11" fillId="0" borderId="0" xfId="0" applyFont="1" applyAlignment="1">
      <alignment horizontal="center"/>
    </xf>
    <xf numFmtId="0" fontId="11" fillId="0" borderId="0" xfId="0" applyFont="1"/>
    <xf numFmtId="0" fontId="0" fillId="0" borderId="0" xfId="0" applyAlignment="1">
      <alignment vertical="center" wrapText="1"/>
    </xf>
    <xf numFmtId="0" fontId="0" fillId="0" borderId="35" xfId="0" applyBorder="1" applyAlignment="1">
      <alignment vertical="center" wrapText="1"/>
    </xf>
    <xf numFmtId="0" fontId="13" fillId="0" borderId="0" xfId="0" applyFont="1" applyAlignment="1">
      <alignment horizontal="center"/>
    </xf>
    <xf numFmtId="4" fontId="12" fillId="0" borderId="11" xfId="0" applyNumberFormat="1" applyFont="1" applyBorder="1"/>
    <xf numFmtId="3" fontId="9" fillId="0" borderId="11" xfId="0" applyNumberFormat="1" applyFont="1" applyBorder="1"/>
    <xf numFmtId="0" fontId="0" fillId="0" borderId="0" xfId="0" applyAlignment="1">
      <alignment wrapText="1"/>
    </xf>
    <xf numFmtId="0" fontId="0" fillId="0" borderId="0" xfId="0" applyAlignment="1">
      <alignment horizontal="center" wrapText="1"/>
    </xf>
    <xf numFmtId="3" fontId="12" fillId="0" borderId="0" xfId="0" applyNumberFormat="1" applyFont="1"/>
    <xf numFmtId="2" fontId="12" fillId="0" borderId="0" xfId="0" applyNumberFormat="1" applyFont="1"/>
    <xf numFmtId="0" fontId="27" fillId="0" borderId="39" xfId="0" applyFont="1" applyBorder="1" applyAlignment="1">
      <alignment horizontal="right" vertical="top"/>
    </xf>
    <xf numFmtId="0" fontId="27" fillId="8" borderId="0" xfId="0" applyFont="1" applyFill="1"/>
    <xf numFmtId="0" fontId="7" fillId="0" borderId="11" xfId="0" applyFont="1" applyBorder="1" applyAlignment="1">
      <alignment horizontal="center" vertical="center" wrapText="1"/>
    </xf>
    <xf numFmtId="0" fontId="9" fillId="0" borderId="11" xfId="0" applyFont="1" applyBorder="1" applyAlignment="1">
      <alignment vertical="center" wrapText="1"/>
    </xf>
    <xf numFmtId="0" fontId="7" fillId="0" borderId="11" xfId="0" applyFont="1" applyBorder="1" applyAlignment="1">
      <alignment horizontal="center" vertical="top"/>
    </xf>
    <xf numFmtId="0" fontId="13" fillId="6" borderId="0" xfId="0" applyFont="1" applyFill="1" applyAlignment="1">
      <alignment vertical="center"/>
    </xf>
    <xf numFmtId="0" fontId="21" fillId="0" borderId="0" xfId="0" applyFont="1" applyAlignment="1">
      <alignment horizontal="left"/>
    </xf>
    <xf numFmtId="0" fontId="3" fillId="7" borderId="0" xfId="0" applyFont="1" applyFill="1" applyAlignment="1">
      <alignment vertical="center"/>
    </xf>
    <xf numFmtId="0" fontId="24" fillId="7" borderId="0" xfId="0" applyFont="1" applyFill="1" applyAlignment="1">
      <alignment vertical="center"/>
    </xf>
    <xf numFmtId="0" fontId="24" fillId="0" borderId="0" xfId="0" applyFont="1" applyAlignment="1">
      <alignment horizontal="left" vertical="center"/>
    </xf>
    <xf numFmtId="0" fontId="24" fillId="0" borderId="0" xfId="0" applyFont="1" applyAlignment="1">
      <alignment horizontal="left"/>
    </xf>
    <xf numFmtId="10" fontId="0" fillId="0" borderId="11" xfId="1" applyNumberFormat="1" applyFont="1" applyBorder="1" applyAlignment="1">
      <alignment horizontal="right"/>
    </xf>
    <xf numFmtId="0" fontId="13" fillId="17" borderId="11" xfId="0" applyFont="1" applyFill="1" applyBorder="1" applyAlignment="1">
      <alignment vertical="center"/>
    </xf>
    <xf numFmtId="10" fontId="0" fillId="0" borderId="11" xfId="0" applyNumberFormat="1" applyBorder="1" applyAlignment="1">
      <alignment horizontal="right"/>
    </xf>
    <xf numFmtId="0" fontId="19" fillId="0" borderId="0" xfId="0" applyFont="1" applyAlignment="1">
      <alignment horizontal="left"/>
    </xf>
    <xf numFmtId="0" fontId="0" fillId="0" borderId="0" xfId="0" applyAlignment="1">
      <alignment horizontal="center" vertical="top"/>
    </xf>
    <xf numFmtId="171" fontId="13" fillId="6" borderId="9" xfId="0" applyNumberFormat="1" applyFont="1" applyFill="1" applyBorder="1" applyAlignment="1">
      <alignment horizontal="left"/>
    </xf>
    <xf numFmtId="171" fontId="13" fillId="6" borderId="10" xfId="0" applyNumberFormat="1" applyFont="1" applyFill="1" applyBorder="1" applyAlignment="1">
      <alignment horizontal="left"/>
    </xf>
    <xf numFmtId="0" fontId="13" fillId="18" borderId="10" xfId="0" applyFont="1" applyFill="1" applyBorder="1" applyAlignment="1">
      <alignment horizontal="left"/>
    </xf>
    <xf numFmtId="170" fontId="12" fillId="0" borderId="9" xfId="0" applyNumberFormat="1" applyFont="1" applyBorder="1" applyAlignment="1">
      <alignment horizontal="right"/>
    </xf>
    <xf numFmtId="170" fontId="12" fillId="0" borderId="10" xfId="0" applyNumberFormat="1" applyFont="1" applyBorder="1" applyAlignment="1">
      <alignment horizontal="right"/>
    </xf>
    <xf numFmtId="170" fontId="12" fillId="0" borderId="10" xfId="2" applyNumberFormat="1" applyFont="1" applyFill="1" applyBorder="1" applyAlignment="1">
      <alignment horizontal="right"/>
    </xf>
    <xf numFmtId="169" fontId="12" fillId="0" borderId="9" xfId="0" applyNumberFormat="1" applyFont="1" applyBorder="1" applyAlignment="1">
      <alignment horizontal="right"/>
    </xf>
    <xf numFmtId="169" fontId="12" fillId="0" borderId="10" xfId="0" applyNumberFormat="1" applyFont="1" applyBorder="1" applyAlignment="1">
      <alignment horizontal="right"/>
    </xf>
    <xf numFmtId="0" fontId="24" fillId="7" borderId="0" xfId="0" applyFont="1" applyFill="1" applyAlignment="1">
      <alignment horizontal="center" vertical="center"/>
    </xf>
    <xf numFmtId="9" fontId="23" fillId="8" borderId="0" xfId="0" applyNumberFormat="1" applyFont="1" applyFill="1" applyAlignment="1">
      <alignment horizontal="left"/>
    </xf>
    <xf numFmtId="10" fontId="0" fillId="0" borderId="8" xfId="1" applyNumberFormat="1" applyFont="1" applyBorder="1" applyAlignment="1">
      <alignment horizontal="left"/>
    </xf>
    <xf numFmtId="2" fontId="0" fillId="0" borderId="8" xfId="0" applyNumberFormat="1" applyBorder="1" applyAlignment="1">
      <alignment horizontal="left"/>
    </xf>
    <xf numFmtId="0" fontId="0" fillId="0" borderId="8" xfId="0" applyBorder="1" applyAlignment="1">
      <alignment horizontal="left"/>
    </xf>
    <xf numFmtId="10" fontId="0" fillId="0" borderId="8" xfId="0" applyNumberFormat="1" applyBorder="1" applyAlignment="1">
      <alignment horizontal="left"/>
    </xf>
    <xf numFmtId="10" fontId="22" fillId="0" borderId="0" xfId="0" applyNumberFormat="1" applyFont="1" applyAlignment="1">
      <alignment horizontal="left"/>
    </xf>
    <xf numFmtId="0" fontId="0" fillId="0" borderId="0" xfId="0" applyAlignment="1">
      <alignment horizontal="left"/>
    </xf>
    <xf numFmtId="9" fontId="0" fillId="0" borderId="8" xfId="1" applyFont="1" applyBorder="1" applyAlignment="1">
      <alignment horizontal="right"/>
    </xf>
    <xf numFmtId="2" fontId="0" fillId="0" borderId="8" xfId="0" applyNumberFormat="1" applyBorder="1" applyAlignment="1">
      <alignment horizontal="right"/>
    </xf>
    <xf numFmtId="0" fontId="0" fillId="0" borderId="8" xfId="0" applyBorder="1" applyAlignment="1">
      <alignment horizontal="right"/>
    </xf>
    <xf numFmtId="4" fontId="0" fillId="0" borderId="8" xfId="0" applyNumberFormat="1" applyBorder="1" applyAlignment="1">
      <alignment horizontal="right"/>
    </xf>
    <xf numFmtId="4" fontId="0" fillId="0" borderId="0" xfId="0" applyNumberFormat="1" applyAlignment="1">
      <alignment horizontal="right"/>
    </xf>
    <xf numFmtId="3" fontId="0" fillId="0" borderId="0" xfId="0" applyNumberFormat="1" applyAlignment="1">
      <alignment horizontal="right"/>
    </xf>
    <xf numFmtId="0" fontId="13" fillId="6" borderId="0" xfId="0" applyFont="1" applyFill="1" applyAlignment="1">
      <alignment horizontal="left"/>
    </xf>
    <xf numFmtId="0" fontId="13" fillId="6" borderId="0" xfId="0" applyFont="1" applyFill="1" applyAlignment="1">
      <alignment horizontal="right"/>
    </xf>
    <xf numFmtId="0" fontId="0" fillId="0" borderId="9" xfId="0" applyBorder="1" applyAlignment="1">
      <alignment horizontal="left"/>
    </xf>
    <xf numFmtId="0" fontId="0" fillId="0" borderId="9" xfId="0" applyBorder="1" applyAlignment="1">
      <alignment horizontal="right"/>
    </xf>
    <xf numFmtId="43" fontId="0" fillId="0" borderId="15" xfId="0" applyNumberFormat="1" applyBorder="1" applyAlignment="1">
      <alignment horizontal="right"/>
    </xf>
    <xf numFmtId="167" fontId="0" fillId="0" borderId="23" xfId="1" applyNumberFormat="1" applyFont="1" applyFill="1" applyBorder="1" applyAlignment="1">
      <alignment horizontal="right"/>
    </xf>
    <xf numFmtId="43" fontId="0" fillId="0" borderId="5" xfId="0" applyNumberFormat="1" applyBorder="1" applyAlignment="1">
      <alignment horizontal="right"/>
    </xf>
    <xf numFmtId="167" fontId="0" fillId="0" borderId="11" xfId="1" applyNumberFormat="1" applyFont="1" applyFill="1" applyBorder="1" applyAlignment="1">
      <alignment horizontal="right"/>
    </xf>
    <xf numFmtId="0" fontId="0" fillId="0" borderId="20" xfId="0" applyBorder="1" applyAlignment="1">
      <alignment horizontal="left"/>
    </xf>
    <xf numFmtId="2" fontId="0" fillId="0" borderId="20" xfId="0" applyNumberFormat="1" applyBorder="1" applyAlignment="1">
      <alignment horizontal="right"/>
    </xf>
    <xf numFmtId="43" fontId="0" fillId="0" borderId="13" xfId="0" applyNumberFormat="1" applyBorder="1" applyAlignment="1">
      <alignment horizontal="right"/>
    </xf>
    <xf numFmtId="167" fontId="0" fillId="0" borderId="37" xfId="1" applyNumberFormat="1" applyFont="1" applyFill="1" applyBorder="1" applyAlignment="1">
      <alignment horizontal="right"/>
    </xf>
    <xf numFmtId="165" fontId="0" fillId="0" borderId="11" xfId="0" applyNumberFormat="1" applyBorder="1" applyAlignment="1">
      <alignment horizontal="right"/>
    </xf>
    <xf numFmtId="0" fontId="0" fillId="0" borderId="31" xfId="0" applyBorder="1" applyAlignment="1">
      <alignment horizontal="left"/>
    </xf>
    <xf numFmtId="10" fontId="9" fillId="0" borderId="48" xfId="0" applyNumberFormat="1" applyFont="1" applyBorder="1" applyAlignment="1">
      <alignment horizontal="right" vertical="center"/>
    </xf>
    <xf numFmtId="2" fontId="9" fillId="0" borderId="23" xfId="0" applyNumberFormat="1" applyFont="1" applyBorder="1" applyAlignment="1">
      <alignment horizontal="right"/>
    </xf>
    <xf numFmtId="2" fontId="9" fillId="0" borderId="11" xfId="0" applyNumberFormat="1" applyFont="1" applyBorder="1" applyAlignment="1">
      <alignment horizontal="right"/>
    </xf>
    <xf numFmtId="9" fontId="0" fillId="0" borderId="8" xfId="1" applyFont="1" applyBorder="1" applyAlignment="1">
      <alignment horizontal="left"/>
    </xf>
    <xf numFmtId="10" fontId="0" fillId="0" borderId="8" xfId="0" applyNumberFormat="1" applyBorder="1" applyAlignment="1">
      <alignment horizontal="right"/>
    </xf>
    <xf numFmtId="10" fontId="0" fillId="0" borderId="8" xfId="1" applyNumberFormat="1" applyFont="1" applyBorder="1" applyAlignment="1">
      <alignment horizontal="right"/>
    </xf>
    <xf numFmtId="0" fontId="0" fillId="0" borderId="0" xfId="0" applyAlignment="1">
      <alignment horizontal="right"/>
    </xf>
    <xf numFmtId="3" fontId="0" fillId="0" borderId="8" xfId="0" applyNumberFormat="1" applyBorder="1" applyAlignment="1">
      <alignment horizontal="right"/>
    </xf>
    <xf numFmtId="0" fontId="0" fillId="0" borderId="20" xfId="0" applyBorder="1" applyAlignment="1">
      <alignment horizontal="right"/>
    </xf>
    <xf numFmtId="167" fontId="0" fillId="0" borderId="11" xfId="0" applyNumberFormat="1" applyBorder="1" applyAlignment="1">
      <alignment horizontal="right"/>
    </xf>
    <xf numFmtId="43" fontId="0" fillId="0" borderId="11" xfId="2" applyFont="1" applyBorder="1" applyAlignment="1">
      <alignment horizontal="right"/>
    </xf>
    <xf numFmtId="173" fontId="12" fillId="0" borderId="9" xfId="0" applyNumberFormat="1" applyFont="1" applyBorder="1" applyAlignment="1">
      <alignment horizontal="right"/>
    </xf>
    <xf numFmtId="173" fontId="12" fillId="0" borderId="10" xfId="0" applyNumberFormat="1" applyFont="1" applyBorder="1" applyAlignment="1">
      <alignment horizontal="right"/>
    </xf>
    <xf numFmtId="10" fontId="0" fillId="0" borderId="0" xfId="0" applyNumberFormat="1" applyAlignment="1">
      <alignment horizontal="right"/>
    </xf>
    <xf numFmtId="9" fontId="0" fillId="0" borderId="8" xfId="0" applyNumberFormat="1" applyBorder="1" applyAlignment="1">
      <alignment horizontal="right"/>
    </xf>
    <xf numFmtId="172" fontId="0" fillId="0" borderId="11" xfId="0" applyNumberFormat="1" applyBorder="1" applyAlignment="1">
      <alignment horizontal="right"/>
    </xf>
    <xf numFmtId="168" fontId="0" fillId="0" borderId="11" xfId="0" applyNumberFormat="1" applyBorder="1" applyAlignment="1">
      <alignment horizontal="right"/>
    </xf>
    <xf numFmtId="2" fontId="0" fillId="0" borderId="11" xfId="0" applyNumberFormat="1" applyBorder="1" applyAlignment="1">
      <alignment horizontal="right"/>
    </xf>
    <xf numFmtId="0" fontId="13" fillId="6" borderId="0" xfId="3" applyFont="1" applyFill="1" applyAlignment="1">
      <alignment vertical="center"/>
    </xf>
    <xf numFmtId="0" fontId="13" fillId="19" borderId="0" xfId="3" applyFont="1" applyFill="1" applyAlignment="1">
      <alignment vertical="center"/>
    </xf>
    <xf numFmtId="0" fontId="21" fillId="0" borderId="0" xfId="3" applyFont="1" applyAlignment="1">
      <alignment horizontal="left"/>
    </xf>
    <xf numFmtId="0" fontId="3" fillId="7" borderId="0" xfId="3" applyFont="1" applyFill="1" applyAlignment="1">
      <alignment vertical="center"/>
    </xf>
    <xf numFmtId="0" fontId="24" fillId="7" borderId="0" xfId="3" applyFont="1" applyFill="1" applyAlignment="1">
      <alignment vertical="center"/>
    </xf>
    <xf numFmtId="0" fontId="24" fillId="20" borderId="0" xfId="0" applyFont="1" applyFill="1" applyAlignment="1">
      <alignment horizontal="left"/>
    </xf>
    <xf numFmtId="10" fontId="0" fillId="0" borderId="11" xfId="5" applyNumberFormat="1" applyFont="1" applyBorder="1" applyAlignment="1">
      <alignment horizontal="right"/>
    </xf>
    <xf numFmtId="0" fontId="13" fillId="19" borderId="11" xfId="3" applyFont="1" applyFill="1" applyBorder="1" applyAlignment="1">
      <alignment vertical="center"/>
    </xf>
    <xf numFmtId="10" fontId="0" fillId="0" borderId="11" xfId="3" applyNumberFormat="1" applyFont="1" applyBorder="1" applyAlignment="1">
      <alignment horizontal="right"/>
    </xf>
    <xf numFmtId="0" fontId="19" fillId="0" borderId="0" xfId="3" applyFont="1" applyAlignment="1">
      <alignment horizontal="left"/>
    </xf>
    <xf numFmtId="0" fontId="0" fillId="0" borderId="0" xfId="3" applyFont="1" applyAlignment="1">
      <alignment horizontal="center" vertical="top"/>
    </xf>
    <xf numFmtId="171" fontId="13" fillId="19" borderId="9" xfId="3" applyNumberFormat="1" applyFont="1" applyFill="1" applyBorder="1" applyAlignment="1">
      <alignment horizontal="left"/>
    </xf>
    <xf numFmtId="171" fontId="13" fillId="19" borderId="10" xfId="3" applyNumberFormat="1" applyFont="1" applyFill="1" applyBorder="1" applyAlignment="1">
      <alignment horizontal="left"/>
    </xf>
    <xf numFmtId="0" fontId="13" fillId="19" borderId="10" xfId="3" applyFont="1" applyFill="1" applyBorder="1" applyAlignment="1">
      <alignment horizontal="left"/>
    </xf>
    <xf numFmtId="0" fontId="12" fillId="0" borderId="7" xfId="3" applyFont="1" applyBorder="1" applyAlignment="1">
      <alignment horizontal="right"/>
    </xf>
    <xf numFmtId="170" fontId="12" fillId="13" borderId="10" xfId="6" applyNumberFormat="1" applyFont="1" applyFill="1" applyBorder="1" applyAlignment="1">
      <alignment horizontal="right"/>
    </xf>
    <xf numFmtId="170" fontId="12" fillId="0" borderId="9" xfId="3" applyNumberFormat="1" applyFont="1" applyBorder="1" applyAlignment="1">
      <alignment horizontal="right"/>
    </xf>
    <xf numFmtId="170" fontId="12" fillId="0" borderId="10" xfId="3" applyNumberFormat="1" applyFont="1" applyBorder="1" applyAlignment="1">
      <alignment horizontal="right"/>
    </xf>
    <xf numFmtId="170" fontId="12" fillId="13" borderId="10" xfId="3" applyNumberFormat="1" applyFont="1" applyFill="1" applyBorder="1" applyAlignment="1">
      <alignment horizontal="right"/>
    </xf>
    <xf numFmtId="169" fontId="12" fillId="0" borderId="10" xfId="3" applyNumberFormat="1" applyFont="1" applyBorder="1" applyAlignment="1">
      <alignment horizontal="right"/>
    </xf>
    <xf numFmtId="169" fontId="12" fillId="13" borderId="10" xfId="3" applyNumberFormat="1" applyFont="1" applyFill="1" applyBorder="1" applyAlignment="1">
      <alignment horizontal="right"/>
    </xf>
    <xf numFmtId="0" fontId="12" fillId="0" borderId="9" xfId="3" applyFont="1" applyBorder="1" applyAlignment="1">
      <alignment horizontal="right"/>
    </xf>
    <xf numFmtId="0" fontId="12" fillId="0" borderId="10" xfId="3" applyFont="1" applyBorder="1" applyAlignment="1">
      <alignment horizontal="right"/>
    </xf>
    <xf numFmtId="10" fontId="12" fillId="0" borderId="8" xfId="3" applyNumberFormat="1" applyFont="1" applyBorder="1" applyAlignment="1">
      <alignment horizontal="right"/>
    </xf>
    <xf numFmtId="0" fontId="24" fillId="7" borderId="0" xfId="3" applyFont="1" applyFill="1" applyAlignment="1">
      <alignment horizontal="center" vertical="center"/>
    </xf>
    <xf numFmtId="9" fontId="23" fillId="8" borderId="0" xfId="3" applyNumberFormat="1" applyFont="1" applyFill="1" applyAlignment="1">
      <alignment horizontal="left"/>
    </xf>
    <xf numFmtId="0" fontId="0" fillId="0" borderId="8" xfId="3" applyFont="1" applyBorder="1" applyAlignment="1">
      <alignment horizontal="left"/>
    </xf>
    <xf numFmtId="10" fontId="0" fillId="0" borderId="8" xfId="3" applyNumberFormat="1" applyFont="1" applyBorder="1" applyAlignment="1">
      <alignment horizontal="left"/>
    </xf>
    <xf numFmtId="10" fontId="0" fillId="13" borderId="8" xfId="3" applyNumberFormat="1" applyFont="1" applyFill="1" applyBorder="1" applyAlignment="1">
      <alignment horizontal="left"/>
    </xf>
    <xf numFmtId="10" fontId="22" fillId="0" borderId="0" xfId="3" applyNumberFormat="1" applyFont="1" applyAlignment="1">
      <alignment horizontal="left"/>
    </xf>
    <xf numFmtId="0" fontId="0" fillId="0" borderId="0" xfId="3" applyFont="1" applyAlignment="1">
      <alignment horizontal="left"/>
    </xf>
    <xf numFmtId="0" fontId="0" fillId="0" borderId="8" xfId="3" applyFont="1" applyBorder="1" applyAlignment="1">
      <alignment horizontal="right"/>
    </xf>
    <xf numFmtId="0" fontId="0" fillId="0" borderId="0" xfId="3" applyFont="1" applyAlignment="1">
      <alignment horizontal="right"/>
    </xf>
    <xf numFmtId="3" fontId="0" fillId="0" borderId="8" xfId="3" applyNumberFormat="1" applyFont="1" applyBorder="1" applyAlignment="1">
      <alignment horizontal="right"/>
    </xf>
    <xf numFmtId="4" fontId="0" fillId="0" borderId="8" xfId="3" applyNumberFormat="1" applyFont="1" applyBorder="1" applyAlignment="1">
      <alignment horizontal="right"/>
    </xf>
    <xf numFmtId="3" fontId="9" fillId="0" borderId="8" xfId="3" applyNumberFormat="1" applyBorder="1"/>
    <xf numFmtId="3" fontId="9" fillId="0" borderId="0" xfId="3" applyNumberFormat="1"/>
    <xf numFmtId="0" fontId="13" fillId="19" borderId="0" xfId="3" applyFont="1" applyFill="1" applyAlignment="1">
      <alignment horizontal="left"/>
    </xf>
    <xf numFmtId="0" fontId="13" fillId="19" borderId="0" xfId="3" applyFont="1" applyFill="1" applyAlignment="1">
      <alignment horizontal="right"/>
    </xf>
    <xf numFmtId="0" fontId="0" fillId="0" borderId="9" xfId="3" applyFont="1" applyBorder="1" applyAlignment="1">
      <alignment horizontal="left"/>
    </xf>
    <xf numFmtId="0" fontId="0" fillId="0" borderId="9" xfId="3" applyFont="1" applyBorder="1" applyAlignment="1">
      <alignment horizontal="right"/>
    </xf>
    <xf numFmtId="43" fontId="0" fillId="13" borderId="15" xfId="3" applyNumberFormat="1" applyFont="1" applyFill="1" applyBorder="1" applyAlignment="1">
      <alignment horizontal="right"/>
    </xf>
    <xf numFmtId="167" fontId="0" fillId="13" borderId="23" xfId="5" applyNumberFormat="1" applyFont="1" applyFill="1" applyBorder="1" applyAlignment="1">
      <alignment horizontal="right"/>
    </xf>
    <xf numFmtId="43" fontId="0" fillId="13" borderId="5" xfId="3" applyNumberFormat="1" applyFont="1" applyFill="1" applyBorder="1" applyAlignment="1">
      <alignment horizontal="right"/>
    </xf>
    <xf numFmtId="167" fontId="0" fillId="13" borderId="11" xfId="5" applyNumberFormat="1" applyFont="1" applyFill="1" applyBorder="1" applyAlignment="1">
      <alignment horizontal="right"/>
    </xf>
    <xf numFmtId="0" fontId="0" fillId="0" borderId="20" xfId="3" applyFont="1" applyBorder="1" applyAlignment="1">
      <alignment horizontal="left"/>
    </xf>
    <xf numFmtId="0" fontId="0" fillId="0" borderId="20" xfId="3" applyFont="1" applyBorder="1" applyAlignment="1">
      <alignment horizontal="right"/>
    </xf>
    <xf numFmtId="43" fontId="0" fillId="13" borderId="13" xfId="3" applyNumberFormat="1" applyFont="1" applyFill="1" applyBorder="1" applyAlignment="1">
      <alignment horizontal="right"/>
    </xf>
    <xf numFmtId="167" fontId="0" fillId="13" borderId="37" xfId="5" applyNumberFormat="1" applyFont="1" applyFill="1" applyBorder="1" applyAlignment="1">
      <alignment horizontal="right"/>
    </xf>
    <xf numFmtId="0" fontId="0" fillId="0" borderId="11" xfId="3" applyFont="1" applyBorder="1" applyAlignment="1">
      <alignment horizontal="left"/>
    </xf>
    <xf numFmtId="165" fontId="0" fillId="0" borderId="11" xfId="3" applyNumberFormat="1" applyFont="1" applyBorder="1" applyAlignment="1">
      <alignment horizontal="right"/>
    </xf>
    <xf numFmtId="168" fontId="0" fillId="0" borderId="11" xfId="3" applyNumberFormat="1" applyFont="1" applyBorder="1" applyAlignment="1">
      <alignment horizontal="right"/>
    </xf>
    <xf numFmtId="0" fontId="20" fillId="20" borderId="0" xfId="0" applyFont="1" applyFill="1" applyAlignment="1">
      <alignment horizontal="left"/>
    </xf>
    <xf numFmtId="167" fontId="0" fillId="0" borderId="11" xfId="3" applyNumberFormat="1" applyFont="1" applyBorder="1" applyAlignment="1">
      <alignment horizontal="right"/>
    </xf>
    <xf numFmtId="0" fontId="19" fillId="20" borderId="0" xfId="0" applyFont="1" applyFill="1" applyAlignment="1">
      <alignment horizontal="left"/>
    </xf>
    <xf numFmtId="0" fontId="18" fillId="20" borderId="0" xfId="0" applyFont="1" applyFill="1" applyAlignment="1">
      <alignment horizontal="left"/>
    </xf>
    <xf numFmtId="43" fontId="0" fillId="0" borderId="11" xfId="6" applyFont="1" applyBorder="1" applyAlignment="1">
      <alignment horizontal="right"/>
    </xf>
    <xf numFmtId="0" fontId="21" fillId="7" borderId="0" xfId="0" applyFont="1" applyFill="1" applyAlignment="1">
      <alignment horizontal="right" vertical="center"/>
    </xf>
    <xf numFmtId="0" fontId="0" fillId="0" borderId="11" xfId="0" applyBorder="1" applyAlignment="1">
      <alignment horizontal="center" wrapText="1"/>
    </xf>
    <xf numFmtId="0" fontId="19" fillId="0" borderId="40" xfId="0" applyFont="1" applyBorder="1" applyAlignment="1">
      <alignment horizontal="right"/>
    </xf>
    <xf numFmtId="0" fontId="19" fillId="0" borderId="41" xfId="0" applyFont="1" applyBorder="1" applyAlignment="1">
      <alignment horizontal="right"/>
    </xf>
    <xf numFmtId="0" fontId="19" fillId="0" borderId="13" xfId="0" applyFont="1" applyBorder="1" applyAlignment="1">
      <alignment horizontal="right"/>
    </xf>
    <xf numFmtId="0" fontId="19" fillId="0" borderId="14" xfId="0" applyFont="1" applyBorder="1" applyAlignment="1">
      <alignment horizontal="right"/>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45" xfId="0" applyBorder="1" applyAlignment="1">
      <alignment horizontal="left" vertical="top" wrapText="1"/>
    </xf>
    <xf numFmtId="0" fontId="0" fillId="0" borderId="0" xfId="0" applyAlignment="1">
      <alignment horizontal="left" vertical="top" wrapText="1"/>
    </xf>
    <xf numFmtId="0" fontId="0" fillId="0" borderId="46" xfId="0" applyBorder="1" applyAlignment="1">
      <alignment horizontal="left" vertical="top" wrapText="1"/>
    </xf>
    <xf numFmtId="0" fontId="0" fillId="0" borderId="47" xfId="0" applyBorder="1" applyAlignment="1">
      <alignment horizontal="left" vertical="top" wrapText="1"/>
    </xf>
    <xf numFmtId="0" fontId="0" fillId="0" borderId="35" xfId="0" applyBorder="1" applyAlignment="1">
      <alignment horizontal="left" vertical="top" wrapText="1"/>
    </xf>
    <xf numFmtId="0" fontId="0" fillId="0" borderId="24" xfId="0" applyBorder="1" applyAlignment="1">
      <alignment horizontal="left" vertical="top" wrapText="1"/>
    </xf>
    <xf numFmtId="0" fontId="3" fillId="7" borderId="0" xfId="0" applyFont="1" applyFill="1" applyAlignment="1">
      <alignment horizontal="left" vertical="center"/>
    </xf>
    <xf numFmtId="0" fontId="11" fillId="0" borderId="0" xfId="0" applyFont="1" applyAlignment="1">
      <alignment horizontal="left"/>
    </xf>
    <xf numFmtId="0" fontId="3" fillId="7" borderId="0" xfId="0" applyFont="1" applyFill="1" applyAlignment="1">
      <alignment horizontal="left"/>
    </xf>
    <xf numFmtId="0" fontId="0" fillId="0" borderId="0" xfId="0" applyAlignment="1">
      <alignment horizontal="left"/>
    </xf>
    <xf numFmtId="43" fontId="19" fillId="0" borderId="5" xfId="2" applyFont="1" applyBorder="1" applyAlignment="1">
      <alignment horizontal="right"/>
    </xf>
    <xf numFmtId="43" fontId="19" fillId="0" borderId="44" xfId="2" applyFont="1" applyBorder="1" applyAlignment="1">
      <alignment horizontal="right"/>
    </xf>
    <xf numFmtId="0" fontId="26" fillId="8" borderId="31" xfId="0" applyFont="1" applyFill="1" applyBorder="1" applyAlignment="1">
      <alignment horizontal="right"/>
    </xf>
    <xf numFmtId="0" fontId="26" fillId="8" borderId="22" xfId="0" applyFont="1" applyFill="1" applyBorder="1" applyAlignment="1">
      <alignment horizontal="right"/>
    </xf>
    <xf numFmtId="0" fontId="25" fillId="8" borderId="31" xfId="0" applyFont="1" applyFill="1" applyBorder="1" applyAlignment="1">
      <alignment horizontal="right"/>
    </xf>
    <xf numFmtId="0" fontId="25" fillId="8" borderId="22" xfId="0" applyFont="1" applyFill="1" applyBorder="1" applyAlignment="1">
      <alignment horizontal="right"/>
    </xf>
    <xf numFmtId="43" fontId="19" fillId="0" borderId="42" xfId="2" applyFont="1" applyBorder="1" applyAlignment="1">
      <alignment horizontal="right"/>
    </xf>
    <xf numFmtId="43" fontId="19" fillId="0" borderId="43" xfId="2" applyFont="1" applyBorder="1" applyAlignment="1">
      <alignment horizontal="right"/>
    </xf>
    <xf numFmtId="0" fontId="4" fillId="5" borderId="0" xfId="0" applyFont="1" applyFill="1" applyAlignment="1">
      <alignment horizontal="center"/>
    </xf>
    <xf numFmtId="0" fontId="4" fillId="4" borderId="0" xfId="0" applyFont="1" applyFill="1" applyAlignment="1">
      <alignment horizontal="center"/>
    </xf>
    <xf numFmtId="0" fontId="5" fillId="2" borderId="0" xfId="0" applyFont="1" applyFill="1" applyAlignment="1">
      <alignment horizontal="center"/>
    </xf>
    <xf numFmtId="0" fontId="0" fillId="0" borderId="5" xfId="3" applyFont="1" applyBorder="1"/>
    <xf numFmtId="0" fontId="11" fillId="0" borderId="6" xfId="3" applyFont="1" applyBorder="1"/>
    <xf numFmtId="0" fontId="11" fillId="0" borderId="7" xfId="3" applyFont="1" applyBorder="1"/>
    <xf numFmtId="0" fontId="10" fillId="6" borderId="5" xfId="3" applyFont="1" applyFill="1" applyBorder="1" applyAlignment="1">
      <alignment horizontal="center" vertical="center"/>
    </xf>
    <xf numFmtId="0" fontId="7" fillId="7" borderId="5" xfId="3" applyFont="1" applyFill="1" applyBorder="1" applyAlignment="1">
      <alignment horizontal="left" vertical="center"/>
    </xf>
    <xf numFmtId="0" fontId="0" fillId="0" borderId="13" xfId="3" applyFont="1" applyBorder="1" applyAlignment="1">
      <alignment vertical="top" wrapText="1"/>
    </xf>
    <xf numFmtId="0" fontId="11" fillId="0" borderId="12" xfId="3" applyFont="1" applyBorder="1" applyAlignment="1">
      <alignment vertical="top" wrapText="1"/>
    </xf>
    <xf numFmtId="0" fontId="11" fillId="0" borderId="14" xfId="3" applyFont="1" applyBorder="1" applyAlignment="1">
      <alignment vertical="top" wrapText="1"/>
    </xf>
    <xf numFmtId="0" fontId="11" fillId="0" borderId="17" xfId="3" applyFont="1" applyBorder="1" applyAlignment="1">
      <alignment vertical="top" wrapText="1"/>
    </xf>
    <xf numFmtId="0" fontId="9" fillId="0" borderId="0" xfId="3" applyAlignment="1">
      <alignment vertical="top" wrapText="1"/>
    </xf>
    <xf numFmtId="0" fontId="11" fillId="0" borderId="18" xfId="3" applyFont="1" applyBorder="1" applyAlignment="1">
      <alignment vertical="top" wrapText="1"/>
    </xf>
    <xf numFmtId="0" fontId="11" fillId="0" borderId="15" xfId="3" applyFont="1" applyBorder="1" applyAlignment="1">
      <alignment vertical="top" wrapText="1"/>
    </xf>
    <xf numFmtId="0" fontId="11" fillId="0" borderId="16" xfId="3" applyFont="1" applyBorder="1" applyAlignment="1">
      <alignment vertical="top" wrapText="1"/>
    </xf>
    <xf numFmtId="0" fontId="11" fillId="0" borderId="10" xfId="3" applyFont="1" applyBorder="1" applyAlignment="1">
      <alignment vertical="top" wrapText="1"/>
    </xf>
    <xf numFmtId="0" fontId="7" fillId="0" borderId="0" xfId="3" applyFont="1"/>
    <xf numFmtId="0" fontId="9" fillId="0" borderId="0" xfId="3"/>
    <xf numFmtId="0" fontId="13" fillId="6" borderId="5" xfId="4" applyFont="1" applyFill="1" applyBorder="1" applyAlignment="1">
      <alignment horizontal="center"/>
    </xf>
    <xf numFmtId="0" fontId="14" fillId="0" borderId="6" xfId="4" applyFont="1" applyBorder="1"/>
    <xf numFmtId="0" fontId="14" fillId="0" borderId="7" xfId="4" applyFont="1" applyBorder="1"/>
    <xf numFmtId="0" fontId="3" fillId="7" borderId="5" xfId="4" applyFont="1" applyFill="1" applyBorder="1"/>
    <xf numFmtId="0" fontId="0" fillId="0" borderId="5" xfId="4" applyFont="1" applyBorder="1"/>
    <xf numFmtId="0" fontId="0" fillId="0" borderId="6" xfId="4" applyFont="1" applyBorder="1"/>
    <xf numFmtId="0" fontId="0" fillId="0" borderId="7" xfId="4" applyFont="1" applyBorder="1"/>
    <xf numFmtId="0" fontId="0" fillId="0" borderId="12" xfId="4" applyFont="1" applyBorder="1" applyAlignment="1">
      <alignment horizontal="left"/>
    </xf>
    <xf numFmtId="0" fontId="3" fillId="7" borderId="13" xfId="4" applyFont="1" applyFill="1" applyBorder="1"/>
    <xf numFmtId="0" fontId="14" fillId="0" borderId="12" xfId="4" applyFont="1" applyBorder="1"/>
    <xf numFmtId="0" fontId="14" fillId="0" borderId="14" xfId="4" applyFont="1" applyBorder="1"/>
    <xf numFmtId="0" fontId="3" fillId="7" borderId="15" xfId="4" applyFont="1" applyFill="1" applyBorder="1"/>
    <xf numFmtId="0" fontId="14" fillId="0" borderId="0" xfId="4" applyFont="1"/>
    <xf numFmtId="0" fontId="14" fillId="0" borderId="16" xfId="4" applyFont="1" applyBorder="1"/>
    <xf numFmtId="0" fontId="14" fillId="0" borderId="10" xfId="4" applyFont="1" applyBorder="1"/>
    <xf numFmtId="0" fontId="0" fillId="0" borderId="0" xfId="4" applyFont="1" applyAlignment="1">
      <alignment horizontal="left"/>
    </xf>
    <xf numFmtId="0" fontId="0" fillId="0" borderId="13" xfId="4" applyFont="1" applyBorder="1" applyAlignment="1">
      <alignment vertical="top" wrapText="1"/>
    </xf>
    <xf numFmtId="0" fontId="14" fillId="0" borderId="12" xfId="4" applyFont="1" applyBorder="1" applyAlignment="1">
      <alignment vertical="top"/>
    </xf>
    <xf numFmtId="0" fontId="14" fillId="0" borderId="14" xfId="4" applyFont="1" applyBorder="1" applyAlignment="1">
      <alignment vertical="top"/>
    </xf>
    <xf numFmtId="0" fontId="14" fillId="0" borderId="17" xfId="4" applyFont="1" applyBorder="1" applyAlignment="1">
      <alignment vertical="top"/>
    </xf>
    <xf numFmtId="0" fontId="9" fillId="0" borderId="0" xfId="4" applyAlignment="1">
      <alignment vertical="top"/>
    </xf>
    <xf numFmtId="0" fontId="14" fillId="0" borderId="18" xfId="4" applyFont="1" applyBorder="1" applyAlignment="1">
      <alignment vertical="top"/>
    </xf>
    <xf numFmtId="0" fontId="14" fillId="0" borderId="15" xfId="4" applyFont="1" applyBorder="1" applyAlignment="1">
      <alignment vertical="top"/>
    </xf>
    <xf numFmtId="0" fontId="14" fillId="0" borderId="16" xfId="4" applyFont="1" applyBorder="1" applyAlignment="1">
      <alignment vertical="top"/>
    </xf>
    <xf numFmtId="0" fontId="14" fillId="0" borderId="10" xfId="4" applyFont="1" applyBorder="1" applyAlignment="1">
      <alignment vertical="top"/>
    </xf>
    <xf numFmtId="0" fontId="0" fillId="0" borderId="5" xfId="4" applyFont="1" applyBorder="1" applyAlignment="1">
      <alignment wrapText="1"/>
    </xf>
    <xf numFmtId="0" fontId="0" fillId="0" borderId="6" xfId="4" applyFont="1" applyBorder="1" applyAlignment="1">
      <alignment wrapText="1"/>
    </xf>
    <xf numFmtId="0" fontId="0" fillId="0" borderId="7" xfId="4" applyFont="1" applyBorder="1" applyAlignment="1">
      <alignment wrapText="1"/>
    </xf>
    <xf numFmtId="0" fontId="11" fillId="0" borderId="12" xfId="3" applyFont="1" applyBorder="1"/>
    <xf numFmtId="0" fontId="7" fillId="7" borderId="5" xfId="3" applyFont="1" applyFill="1" applyBorder="1"/>
    <xf numFmtId="0" fontId="9" fillId="0" borderId="5" xfId="3" applyBorder="1"/>
    <xf numFmtId="0" fontId="32" fillId="7" borderId="15" xfId="0" applyFont="1" applyFill="1" applyBorder="1" applyAlignment="1">
      <alignment horizontal="left"/>
    </xf>
    <xf numFmtId="0" fontId="32" fillId="7" borderId="16" xfId="0" applyFont="1" applyFill="1" applyBorder="1" applyAlignment="1">
      <alignment horizontal="left"/>
    </xf>
    <xf numFmtId="0" fontId="17" fillId="0" borderId="5" xfId="0" applyFont="1" applyBorder="1"/>
    <xf numFmtId="0" fontId="17" fillId="0" borderId="6" xfId="0" applyFont="1" applyBorder="1"/>
    <xf numFmtId="0" fontId="17" fillId="0" borderId="7" xfId="0" applyFont="1" applyBorder="1"/>
    <xf numFmtId="0" fontId="32" fillId="0" borderId="21" xfId="0" applyFont="1" applyBorder="1" applyAlignment="1">
      <alignment horizontal="left" vertical="center"/>
    </xf>
    <xf numFmtId="0" fontId="32" fillId="0" borderId="9" xfId="0" applyFont="1" applyBorder="1" applyAlignment="1">
      <alignment horizontal="left" vertical="center"/>
    </xf>
    <xf numFmtId="0" fontId="45" fillId="0" borderId="13" xfId="0" applyFont="1" applyBorder="1" applyAlignment="1">
      <alignment vertical="center" wrapText="1"/>
    </xf>
    <xf numFmtId="0" fontId="44" fillId="0" borderId="12" xfId="0" applyFont="1" applyBorder="1" applyAlignment="1">
      <alignment vertical="center" wrapText="1"/>
    </xf>
    <xf numFmtId="0" fontId="44" fillId="0" borderId="14" xfId="0" applyFont="1" applyBorder="1" applyAlignment="1">
      <alignment vertical="center" wrapText="1"/>
    </xf>
    <xf numFmtId="0" fontId="44" fillId="0" borderId="17" xfId="0" applyFont="1" applyBorder="1" applyAlignment="1">
      <alignment vertical="center" wrapText="1"/>
    </xf>
    <xf numFmtId="0" fontId="44" fillId="0" borderId="0" xfId="0" applyFont="1" applyAlignment="1">
      <alignment vertical="center" wrapText="1"/>
    </xf>
    <xf numFmtId="0" fontId="44" fillId="0" borderId="18" xfId="0" applyFont="1" applyBorder="1" applyAlignment="1">
      <alignment vertical="center" wrapText="1"/>
    </xf>
    <xf numFmtId="0" fontId="44" fillId="0" borderId="15" xfId="0" applyFont="1" applyBorder="1" applyAlignment="1">
      <alignment vertical="center" wrapText="1"/>
    </xf>
    <xf numFmtId="0" fontId="44" fillId="0" borderId="16" xfId="0" applyFont="1" applyBorder="1" applyAlignment="1">
      <alignment vertical="center" wrapText="1"/>
    </xf>
    <xf numFmtId="0" fontId="44" fillId="0" borderId="10" xfId="0" applyFont="1" applyBorder="1" applyAlignment="1">
      <alignment vertical="center" wrapText="1"/>
    </xf>
    <xf numFmtId="0" fontId="32" fillId="7" borderId="5" xfId="0" applyFont="1" applyFill="1" applyBorder="1"/>
    <xf numFmtId="0" fontId="32" fillId="7" borderId="6" xfId="0" applyFont="1" applyFill="1" applyBorder="1"/>
    <xf numFmtId="0" fontId="32" fillId="7" borderId="7" xfId="0" applyFont="1" applyFill="1" applyBorder="1"/>
    <xf numFmtId="0" fontId="13" fillId="6" borderId="5" xfId="0" applyFont="1" applyFill="1" applyBorder="1" applyAlignment="1">
      <alignment horizontal="center"/>
    </xf>
    <xf numFmtId="0" fontId="13" fillId="6" borderId="6" xfId="0" applyFont="1" applyFill="1" applyBorder="1" applyAlignment="1">
      <alignment horizontal="center"/>
    </xf>
    <xf numFmtId="0" fontId="13" fillId="6" borderId="7" xfId="0" applyFont="1" applyFill="1" applyBorder="1" applyAlignment="1">
      <alignment horizontal="center"/>
    </xf>
    <xf numFmtId="0" fontId="32" fillId="7" borderId="13" xfId="0" applyFont="1" applyFill="1" applyBorder="1"/>
    <xf numFmtId="0" fontId="9" fillId="0" borderId="6" xfId="0" applyFont="1" applyBorder="1" applyAlignment="1">
      <alignment horizontal="left" vertical="center" wrapText="1"/>
    </xf>
    <xf numFmtId="0" fontId="9" fillId="0" borderId="7" xfId="0" applyFont="1" applyBorder="1" applyAlignment="1">
      <alignment horizontal="left" vertical="center" wrapText="1"/>
    </xf>
    <xf numFmtId="0" fontId="32" fillId="0" borderId="18" xfId="0" applyFont="1" applyBorder="1" applyAlignment="1">
      <alignment horizontal="center" wrapText="1"/>
    </xf>
    <xf numFmtId="0" fontId="12" fillId="0" borderId="13" xfId="0" applyFont="1" applyBorder="1" applyAlignment="1">
      <alignment horizontal="center"/>
    </xf>
    <xf numFmtId="0" fontId="12" fillId="0" borderId="15" xfId="0" applyFont="1" applyBorder="1" applyAlignment="1">
      <alignment horizontal="center"/>
    </xf>
    <xf numFmtId="0" fontId="0" fillId="0" borderId="8" xfId="0" applyBorder="1" applyAlignment="1">
      <alignment horizontal="center" wrapText="1"/>
    </xf>
    <xf numFmtId="0" fontId="0" fillId="0" borderId="20" xfId="0" applyBorder="1" applyAlignment="1">
      <alignment horizontal="center" wrapText="1"/>
    </xf>
    <xf numFmtId="0" fontId="32" fillId="7" borderId="12" xfId="0" applyFont="1" applyFill="1" applyBorder="1"/>
    <xf numFmtId="0" fontId="32" fillId="7" borderId="14" xfId="0" applyFont="1" applyFill="1" applyBorder="1"/>
    <xf numFmtId="0" fontId="32" fillId="7" borderId="17" xfId="0" applyFont="1" applyFill="1" applyBorder="1" applyAlignment="1">
      <alignment horizontal="left"/>
    </xf>
    <xf numFmtId="0" fontId="32" fillId="7" borderId="0" xfId="0" applyFont="1" applyFill="1" applyAlignment="1">
      <alignment horizontal="left"/>
    </xf>
    <xf numFmtId="0" fontId="17" fillId="0" borderId="6" xfId="0" applyFont="1" applyBorder="1" applyAlignment="1">
      <alignment horizontal="left" vertical="center" wrapText="1"/>
    </xf>
    <xf numFmtId="0" fontId="17" fillId="0" borderId="7" xfId="0" applyFont="1" applyBorder="1" applyAlignment="1">
      <alignment horizontal="left" vertical="center" wrapText="1"/>
    </xf>
    <xf numFmtId="0" fontId="17" fillId="0" borderId="13" xfId="0" applyFont="1" applyBorder="1" applyAlignment="1">
      <alignment vertical="center" wrapText="1"/>
    </xf>
    <xf numFmtId="0" fontId="17" fillId="0" borderId="12" xfId="0" applyFont="1" applyBorder="1" applyAlignment="1">
      <alignment vertical="center" wrapText="1"/>
    </xf>
    <xf numFmtId="0" fontId="17" fillId="0" borderId="14" xfId="0" applyFont="1" applyBorder="1" applyAlignment="1">
      <alignment vertical="center" wrapText="1"/>
    </xf>
    <xf numFmtId="0" fontId="17" fillId="0" borderId="17" xfId="0" applyFont="1" applyBorder="1" applyAlignment="1">
      <alignment vertical="center" wrapText="1"/>
    </xf>
    <xf numFmtId="0" fontId="17" fillId="0" borderId="0" xfId="0" applyFont="1" applyAlignment="1">
      <alignment vertical="center" wrapText="1"/>
    </xf>
    <xf numFmtId="0" fontId="17" fillId="0" borderId="18" xfId="0" applyFont="1" applyBorder="1" applyAlignment="1">
      <alignment vertical="center" wrapText="1"/>
    </xf>
    <xf numFmtId="0" fontId="17" fillId="0" borderId="15" xfId="0" applyFont="1" applyBorder="1" applyAlignment="1">
      <alignment vertical="center" wrapText="1"/>
    </xf>
    <xf numFmtId="0" fontId="17" fillId="0" borderId="16" xfId="0" applyFont="1" applyBorder="1" applyAlignment="1">
      <alignment vertical="center" wrapText="1"/>
    </xf>
    <xf numFmtId="0" fontId="17" fillId="0" borderId="10" xfId="0" applyFont="1" applyBorder="1" applyAlignment="1">
      <alignment vertical="center" wrapText="1"/>
    </xf>
    <xf numFmtId="0" fontId="42" fillId="0" borderId="6" xfId="0" applyFont="1" applyBorder="1" applyAlignment="1">
      <alignment horizontal="left" vertical="center" wrapText="1"/>
    </xf>
    <xf numFmtId="0" fontId="42" fillId="0" borderId="13" xfId="0" applyFont="1" applyBorder="1" applyAlignment="1">
      <alignment vertical="center" wrapText="1"/>
    </xf>
    <xf numFmtId="0" fontId="32" fillId="7" borderId="15" xfId="0" applyFont="1" applyFill="1" applyBorder="1"/>
    <xf numFmtId="0" fontId="32" fillId="7" borderId="16" xfId="0" applyFont="1" applyFill="1" applyBorder="1"/>
    <xf numFmtId="0" fontId="32" fillId="7" borderId="17" xfId="0" applyFont="1" applyFill="1" applyBorder="1"/>
    <xf numFmtId="0" fontId="32" fillId="7" borderId="0" xfId="0" applyFont="1" applyFill="1"/>
    <xf numFmtId="0" fontId="0" fillId="0" borderId="9" xfId="0" applyBorder="1" applyAlignment="1">
      <alignment horizontal="center" wrapText="1"/>
    </xf>
    <xf numFmtId="0" fontId="32" fillId="0" borderId="14" xfId="0" applyFont="1" applyBorder="1" applyAlignment="1">
      <alignment horizontal="center" wrapText="1"/>
    </xf>
    <xf numFmtId="0" fontId="17" fillId="0" borderId="13" xfId="0" applyFont="1" applyBorder="1"/>
    <xf numFmtId="0" fontId="17" fillId="0" borderId="12" xfId="0" applyFont="1" applyBorder="1"/>
    <xf numFmtId="0" fontId="17" fillId="0" borderId="14" xfId="0" applyFont="1" applyBorder="1"/>
    <xf numFmtId="0" fontId="32" fillId="0" borderId="17" xfId="0" applyFont="1" applyBorder="1" applyAlignment="1">
      <alignment horizontal="left" vertical="center"/>
    </xf>
    <xf numFmtId="0" fontId="32" fillId="0" borderId="15" xfId="0" applyFont="1" applyBorder="1" applyAlignment="1">
      <alignment horizontal="left" vertical="center"/>
    </xf>
    <xf numFmtId="0" fontId="38" fillId="0" borderId="13" xfId="0" applyFont="1" applyBorder="1" applyAlignment="1">
      <alignment vertical="center" wrapText="1"/>
    </xf>
    <xf numFmtId="0" fontId="9" fillId="0" borderId="12" xfId="0" applyFont="1" applyBorder="1" applyAlignment="1">
      <alignment vertical="center" wrapText="1"/>
    </xf>
    <xf numFmtId="0" fontId="9" fillId="0" borderId="14" xfId="0" applyFont="1" applyBorder="1" applyAlignment="1">
      <alignment vertical="center" wrapText="1"/>
    </xf>
    <xf numFmtId="0" fontId="9" fillId="0" borderId="17" xfId="0" applyFont="1" applyBorder="1" applyAlignment="1">
      <alignment vertical="center" wrapText="1"/>
    </xf>
    <xf numFmtId="0" fontId="9" fillId="0" borderId="0" xfId="0" applyFont="1" applyAlignment="1">
      <alignment vertical="center" wrapText="1"/>
    </xf>
    <xf numFmtId="0" fontId="9" fillId="0" borderId="18" xfId="0" applyFont="1" applyBorder="1" applyAlignment="1">
      <alignment vertical="center" wrapText="1"/>
    </xf>
    <xf numFmtId="0" fontId="9" fillId="0" borderId="15" xfId="0" applyFont="1" applyBorder="1" applyAlignment="1">
      <alignment vertical="center" wrapText="1"/>
    </xf>
    <xf numFmtId="0" fontId="9" fillId="0" borderId="16" xfId="0" applyFont="1" applyBorder="1" applyAlignment="1">
      <alignment vertical="center" wrapText="1"/>
    </xf>
    <xf numFmtId="0" fontId="9" fillId="0" borderId="10" xfId="0" applyFont="1" applyBorder="1" applyAlignment="1">
      <alignment vertical="center" wrapText="1"/>
    </xf>
    <xf numFmtId="0" fontId="40" fillId="0" borderId="5" xfId="0" applyFont="1" applyBorder="1" applyAlignment="1">
      <alignment horizontal="center" wrapText="1"/>
    </xf>
    <xf numFmtId="0" fontId="40" fillId="0" borderId="6" xfId="0" applyFont="1" applyBorder="1" applyAlignment="1">
      <alignment horizontal="center" wrapText="1"/>
    </xf>
    <xf numFmtId="0" fontId="9" fillId="0" borderId="6" xfId="0" applyFont="1" applyBorder="1" applyAlignment="1">
      <alignment horizontal="left" vertical="center"/>
    </xf>
    <xf numFmtId="0" fontId="9" fillId="0" borderId="7" xfId="0" applyFont="1" applyBorder="1" applyAlignment="1">
      <alignment horizontal="left" vertical="center"/>
    </xf>
    <xf numFmtId="0" fontId="37" fillId="0" borderId="13" xfId="0" applyFont="1" applyBorder="1" applyAlignment="1">
      <alignment vertical="center" wrapText="1"/>
    </xf>
    <xf numFmtId="0" fontId="9" fillId="0" borderId="8" xfId="0" applyFont="1" applyBorder="1" applyAlignment="1">
      <alignment horizontal="center" vertical="center" wrapText="1"/>
    </xf>
    <xf numFmtId="0" fontId="9" fillId="0" borderId="11" xfId="0" applyFont="1" applyBorder="1" applyAlignment="1">
      <alignment horizontal="left" vertical="center" wrapText="1"/>
    </xf>
    <xf numFmtId="0" fontId="7" fillId="16" borderId="32" xfId="0" applyFont="1" applyFill="1" applyBorder="1" applyAlignment="1">
      <alignment horizontal="center" vertical="center"/>
    </xf>
    <xf numFmtId="0" fontId="7" fillId="16" borderId="33" xfId="0" applyFont="1" applyFill="1" applyBorder="1" applyAlignment="1">
      <alignment horizontal="center" vertical="center"/>
    </xf>
    <xf numFmtId="0" fontId="7" fillId="16" borderId="34" xfId="0" applyFont="1" applyFill="1" applyBorder="1" applyAlignment="1">
      <alignment horizontal="center" vertical="center"/>
    </xf>
    <xf numFmtId="0" fontId="7" fillId="16" borderId="11" xfId="0" applyFont="1" applyFill="1" applyBorder="1" applyAlignment="1">
      <alignment horizontal="center" vertical="center"/>
    </xf>
    <xf numFmtId="0" fontId="0" fillId="0" borderId="11" xfId="0" applyBorder="1" applyAlignment="1">
      <alignment horizontal="left" wrapText="1"/>
    </xf>
    <xf numFmtId="0" fontId="7" fillId="0" borderId="11" xfId="0" applyFont="1" applyBorder="1" applyAlignment="1">
      <alignment horizontal="center" vertical="center"/>
    </xf>
    <xf numFmtId="3" fontId="0" fillId="0" borderId="11" xfId="0" applyNumberFormat="1" applyBorder="1" applyAlignment="1">
      <alignment horizontal="left" wrapText="1"/>
    </xf>
    <xf numFmtId="0" fontId="7" fillId="16" borderId="31" xfId="0" applyFont="1" applyFill="1" applyBorder="1" applyAlignment="1">
      <alignment horizontal="center" vertical="center"/>
    </xf>
    <xf numFmtId="0" fontId="7" fillId="16" borderId="3" xfId="0" applyFont="1" applyFill="1" applyBorder="1" applyAlignment="1">
      <alignment horizontal="center" vertical="center"/>
    </xf>
    <xf numFmtId="0" fontId="7" fillId="16" borderId="22" xfId="0" applyFont="1" applyFill="1" applyBorder="1" applyAlignment="1">
      <alignment horizontal="center" vertical="center"/>
    </xf>
    <xf numFmtId="0" fontId="28" fillId="14" borderId="5" xfId="0" applyFont="1" applyFill="1" applyBorder="1" applyAlignment="1">
      <alignment horizontal="center" vertical="center"/>
    </xf>
    <xf numFmtId="0" fontId="0" fillId="15" borderId="6" xfId="0" applyFill="1" applyBorder="1"/>
    <xf numFmtId="0" fontId="0" fillId="15" borderId="7" xfId="0" applyFill="1" applyBorder="1"/>
    <xf numFmtId="0" fontId="0" fillId="0" borderId="11" xfId="0" applyBorder="1" applyAlignment="1">
      <alignment horizontal="left"/>
    </xf>
    <xf numFmtId="0" fontId="9" fillId="0" borderId="0" xfId="0" applyFont="1" applyAlignment="1">
      <alignment horizontal="left"/>
    </xf>
    <xf numFmtId="0" fontId="9" fillId="0" borderId="11" xfId="0" applyFont="1" applyBorder="1"/>
    <xf numFmtId="0" fontId="0" fillId="0" borderId="11" xfId="0" applyBorder="1" applyAlignment="1">
      <alignment horizontal="center" vertical="center" wrapText="1"/>
    </xf>
    <xf numFmtId="0" fontId="7" fillId="0" borderId="11" xfId="0" applyFont="1" applyBorder="1" applyAlignment="1">
      <alignment horizontal="right" vertical="center"/>
    </xf>
    <xf numFmtId="0" fontId="9" fillId="0" borderId="33" xfId="0" applyFont="1" applyBorder="1" applyAlignment="1">
      <alignment horizontal="left"/>
    </xf>
    <xf numFmtId="0" fontId="0" fillId="0" borderId="23" xfId="0" applyBorder="1"/>
    <xf numFmtId="0" fontId="11" fillId="0" borderId="23" xfId="0" applyFont="1" applyBorder="1"/>
    <xf numFmtId="0" fontId="0" fillId="0" borderId="11" xfId="0" applyBorder="1"/>
    <xf numFmtId="0" fontId="11" fillId="0" borderId="11" xfId="0" applyFont="1" applyBorder="1"/>
    <xf numFmtId="4" fontId="0" fillId="0" borderId="11" xfId="0" applyNumberFormat="1" applyBorder="1" applyAlignment="1">
      <alignment horizontal="left" vertical="top"/>
    </xf>
    <xf numFmtId="0" fontId="11" fillId="0" borderId="11" xfId="0" applyFont="1" applyBorder="1" applyAlignment="1">
      <alignment horizontal="left" vertical="top"/>
    </xf>
    <xf numFmtId="0" fontId="28" fillId="14" borderId="11" xfId="0" applyFont="1" applyFill="1" applyBorder="1" applyAlignment="1">
      <alignment horizontal="center" vertical="center"/>
    </xf>
    <xf numFmtId="0" fontId="9" fillId="0" borderId="11" xfId="0" applyFont="1" applyBorder="1" applyAlignment="1">
      <alignment horizontal="left" vertical="top" wrapText="1"/>
    </xf>
    <xf numFmtId="3" fontId="0" fillId="0" borderId="11" xfId="0" applyNumberFormat="1" applyBorder="1" applyAlignment="1">
      <alignment horizontal="left"/>
    </xf>
    <xf numFmtId="0" fontId="7" fillId="0" borderId="37" xfId="0" applyFont="1" applyBorder="1" applyAlignment="1">
      <alignment horizontal="right" vertical="center"/>
    </xf>
    <xf numFmtId="0" fontId="7" fillId="0" borderId="38" xfId="0" applyFont="1" applyBorder="1" applyAlignment="1">
      <alignment horizontal="right" vertical="center"/>
    </xf>
    <xf numFmtId="0" fontId="7" fillId="0" borderId="23" xfId="0" applyFont="1" applyBorder="1" applyAlignment="1">
      <alignment horizontal="right" vertical="center"/>
    </xf>
    <xf numFmtId="0" fontId="0" fillId="0" borderId="0" xfId="0" applyAlignment="1">
      <alignment horizontal="left" wrapText="1"/>
    </xf>
    <xf numFmtId="0" fontId="19" fillId="0" borderId="40" xfId="0" applyFont="1" applyBorder="1" applyAlignment="1">
      <alignment horizontal="left"/>
    </xf>
    <xf numFmtId="0" fontId="19" fillId="0" borderId="41" xfId="0" applyFont="1" applyBorder="1" applyAlignment="1">
      <alignment horizontal="left"/>
    </xf>
    <xf numFmtId="43" fontId="19" fillId="0" borderId="5" xfId="6" applyFont="1" applyBorder="1" applyAlignment="1">
      <alignment horizontal="right"/>
    </xf>
    <xf numFmtId="43" fontId="19" fillId="0" borderId="44" xfId="6" applyFont="1" applyBorder="1" applyAlignment="1">
      <alignment horizontal="right"/>
    </xf>
    <xf numFmtId="0" fontId="26" fillId="8" borderId="31" xfId="3" applyFont="1" applyFill="1" applyBorder="1" applyAlignment="1">
      <alignment horizontal="right"/>
    </xf>
    <xf numFmtId="0" fontId="26" fillId="8" borderId="22" xfId="3" applyFont="1" applyFill="1" applyBorder="1" applyAlignment="1">
      <alignment horizontal="right"/>
    </xf>
    <xf numFmtId="0" fontId="25" fillId="8" borderId="31" xfId="3" applyFont="1" applyFill="1" applyBorder="1" applyAlignment="1">
      <alignment horizontal="right"/>
    </xf>
    <xf numFmtId="0" fontId="25" fillId="8" borderId="22" xfId="3" applyFont="1" applyFill="1" applyBorder="1" applyAlignment="1">
      <alignment horizontal="right"/>
    </xf>
    <xf numFmtId="0" fontId="19" fillId="0" borderId="40" xfId="3" applyFont="1" applyBorder="1" applyAlignment="1">
      <alignment horizontal="right"/>
    </xf>
    <xf numFmtId="0" fontId="19" fillId="0" borderId="41" xfId="3" applyFont="1" applyBorder="1" applyAlignment="1">
      <alignment horizontal="right"/>
    </xf>
    <xf numFmtId="43" fontId="19" fillId="0" borderId="42" xfId="6" applyFont="1" applyBorder="1" applyAlignment="1">
      <alignment horizontal="right"/>
    </xf>
    <xf numFmtId="43" fontId="19" fillId="0" borderId="43" xfId="6" applyFont="1" applyBorder="1" applyAlignment="1">
      <alignment horizontal="right"/>
    </xf>
    <xf numFmtId="0" fontId="21" fillId="7" borderId="0" xfId="3" applyFont="1" applyFill="1" applyAlignment="1">
      <alignment horizontal="right" vertical="center"/>
    </xf>
    <xf numFmtId="0" fontId="0" fillId="0" borderId="11" xfId="3" applyFont="1" applyBorder="1" applyAlignment="1">
      <alignment horizontal="left" wrapText="1"/>
    </xf>
    <xf numFmtId="0" fontId="24" fillId="0" borderId="13" xfId="3" applyFont="1" applyBorder="1" applyAlignment="1">
      <alignment horizontal="right"/>
    </xf>
    <xf numFmtId="0" fontId="24" fillId="0" borderId="14" xfId="3" applyFont="1" applyBorder="1" applyAlignment="1">
      <alignment horizontal="right"/>
    </xf>
    <xf numFmtId="0" fontId="0" fillId="0" borderId="32" xfId="3" applyFont="1" applyBorder="1" applyAlignment="1">
      <alignment horizontal="left" vertical="top" wrapText="1"/>
    </xf>
    <xf numFmtId="0" fontId="0" fillId="0" borderId="33" xfId="3" applyFont="1" applyBorder="1" applyAlignment="1">
      <alignment horizontal="left" vertical="top" wrapText="1"/>
    </xf>
    <xf numFmtId="0" fontId="0" fillId="0" borderId="34" xfId="3" applyFont="1" applyBorder="1" applyAlignment="1">
      <alignment horizontal="left" vertical="top" wrapText="1"/>
    </xf>
    <xf numFmtId="0" fontId="0" fillId="0" borderId="45" xfId="3" applyFont="1" applyBorder="1" applyAlignment="1">
      <alignment horizontal="left" vertical="top" wrapText="1"/>
    </xf>
    <xf numFmtId="0" fontId="0" fillId="0" borderId="0" xfId="3" applyFont="1" applyAlignment="1">
      <alignment horizontal="left" vertical="top" wrapText="1"/>
    </xf>
    <xf numFmtId="0" fontId="0" fillId="0" borderId="46" xfId="3" applyFont="1" applyBorder="1" applyAlignment="1">
      <alignment horizontal="left" vertical="top" wrapText="1"/>
    </xf>
    <xf numFmtId="0" fontId="0" fillId="0" borderId="47" xfId="3" applyFont="1" applyBorder="1" applyAlignment="1">
      <alignment horizontal="left" vertical="top" wrapText="1"/>
    </xf>
    <xf numFmtId="0" fontId="0" fillId="0" borderId="35" xfId="3" applyFont="1" applyBorder="1" applyAlignment="1">
      <alignment horizontal="left" vertical="top" wrapText="1"/>
    </xf>
    <xf numFmtId="0" fontId="0" fillId="0" borderId="24" xfId="3" applyFont="1" applyBorder="1" applyAlignment="1">
      <alignment horizontal="left" vertical="top" wrapText="1"/>
    </xf>
    <xf numFmtId="0" fontId="3" fillId="7" borderId="0" xfId="3" applyFont="1" applyFill="1" applyAlignment="1">
      <alignment horizontal="left" vertical="center"/>
    </xf>
    <xf numFmtId="0" fontId="11" fillId="0" borderId="0" xfId="3" applyFont="1" applyAlignment="1">
      <alignment horizontal="left"/>
    </xf>
    <xf numFmtId="0" fontId="3" fillId="7" borderId="0" xfId="3" applyFont="1" applyFill="1" applyAlignment="1">
      <alignment horizontal="left"/>
    </xf>
    <xf numFmtId="0" fontId="0" fillId="0" borderId="0" xfId="3" applyFont="1" applyAlignment="1">
      <alignment horizontal="left"/>
    </xf>
  </cellXfs>
  <cellStyles count="7">
    <cellStyle name="Comma" xfId="2" builtinId="3"/>
    <cellStyle name="Comma 2" xfId="6" xr:uid="{00000000-0005-0000-0000-000009000000}"/>
    <cellStyle name="Normal" xfId="0" builtinId="0"/>
    <cellStyle name="Normal 2" xfId="3" xr:uid="{00000000-0005-0000-0000-000006000000}"/>
    <cellStyle name="Normal 3" xfId="4" xr:uid="{00000000-0005-0000-0000-000007000000}"/>
    <cellStyle name="Percent" xfId="1" builtinId="5"/>
    <cellStyle name="Percent 2" xfId="5" xr:uid="{00000000-0005-0000-0000-000008000000}"/>
  </cellStyles>
  <dxfs count="11">
    <dxf>
      <alignment horizontal="general" vertical="bottom" textRotation="0" wrapText="1" shrinkToFit="0" readingOrder="0"/>
      <border>
        <left style="thin">
          <color rgb="FF000000"/>
        </left>
        <right style="thin">
          <color rgb="FF000000"/>
        </right>
        <top style="thin">
          <color rgb="FF000000"/>
        </top>
        <bottom/>
      </border>
    </dxf>
    <dxf>
      <alignment horizontal="general" vertical="bottom" textRotation="0" wrapText="1" shrinkToFit="0" readingOrder="0"/>
    </dxf>
    <dxf>
      <border>
        <top style="thin">
          <color rgb="FF284E3F"/>
        </top>
        <bottom style="thin">
          <color rgb="FF000000"/>
        </bottom>
      </border>
    </dxf>
    <dxf>
      <alignment horizontal="general" vertical="bottom" textRotation="0" wrapText="1" shrinkToFit="0" readingOrder="0"/>
    </dxf>
    <dxf>
      <border>
        <top style="thin">
          <color rgb="FF284E3F"/>
        </top>
        <bottom style="thin">
          <color rgb="FF000000"/>
        </bottom>
      </border>
    </dxf>
    <dxf>
      <border>
        <left/>
        <right style="thin">
          <color rgb="FF000000"/>
        </right>
        <top/>
        <bottom/>
      </border>
    </dxf>
    <dxf>
      <alignment horizontal="general" vertical="bottom" textRotation="0" wrapText="1" shrinkToFit="0" readingOrder="0"/>
      <border>
        <left style="thin">
          <color rgb="FF000000"/>
        </left>
        <right/>
        <top/>
        <bottom/>
      </border>
    </dxf>
    <dxf>
      <border>
        <top style="thin">
          <color rgb="FF284E3F"/>
        </top>
        <bottom style="thin">
          <color rgb="FF000000"/>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defaultTableStyle="TableStyleMedium2" defaultPivotStyle="PivotStyleLight16">
    <tableStyle name="Dabur-style" pivot="0" table="0" count="3" xr9:uid="{00000000-0011-0000-FFFF-FFFF00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5:B50" totalsRowShown="0" tableBorderDxfId="7">
  <autoFilter ref="A45:B50" xr:uid="{00000000-0009-0000-0100-000001000000}"/>
  <tableColumns count="2">
    <tableColumn id="1" xr3:uid="{00000000-0010-0000-0000-000001000000}" name="Pros" dataDxfId="6"/>
    <tableColumn id="2" xr3:uid="{00000000-0010-0000-0000-000002000000}" name="Cons" dataDxfId="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5:B53" totalsRowShown="0" tableBorderDxfId="4">
  <autoFilter ref="A45:B53" xr:uid="{00000000-0009-0000-0100-000002000000}"/>
  <tableColumns count="2">
    <tableColumn id="1" xr3:uid="{00000000-0010-0000-0100-000001000000}" name="Pros" dataDxfId="3"/>
    <tableColumn id="2" xr3:uid="{00000000-0010-0000-0100-000002000000}" name="Con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45:B50" totalsRowShown="0" tableBorderDxfId="2">
  <autoFilter ref="A45:B50" xr:uid="{00000000-0009-0000-0100-000003000000}"/>
  <tableColumns count="2">
    <tableColumn id="1" xr3:uid="{00000000-0010-0000-0200-000001000000}" name="Pros" dataDxfId="1"/>
    <tableColumn id="2" xr3:uid="{00000000-0010-0000-0200-000002000000}" name="Cons"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5B7E-DF63-4E88-BD0E-7DA803E0761A}">
  <sheetPr>
    <tabColor rgb="FF002060"/>
  </sheetPr>
  <dimension ref="A1"/>
  <sheetViews>
    <sheetView workbookViewId="0">
      <selection activeCell="G31" sqref="G31"/>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050B-F958-43B9-9CD5-25DEF429D43D}">
  <dimension ref="A1:X116"/>
  <sheetViews>
    <sheetView showGridLines="0" topLeftCell="A16" workbookViewId="0">
      <selection activeCell="O26" sqref="O26"/>
    </sheetView>
  </sheetViews>
  <sheetFormatPr defaultRowHeight="15"/>
  <cols>
    <col min="1" max="1" width="1.85546875" customWidth="1"/>
    <col min="2" max="2" width="24.5703125" bestFit="1" customWidth="1"/>
    <col min="13" max="13" width="14.5703125" customWidth="1"/>
  </cols>
  <sheetData>
    <row r="1" spans="1:21" ht="18.75">
      <c r="B1" s="413" t="s">
        <v>0</v>
      </c>
      <c r="C1" s="413"/>
      <c r="D1" s="413"/>
      <c r="E1" s="413"/>
      <c r="F1" s="413"/>
      <c r="G1" s="413"/>
      <c r="H1" s="413"/>
      <c r="I1" s="413"/>
      <c r="J1" s="413"/>
      <c r="K1" s="413"/>
      <c r="L1" s="413"/>
      <c r="M1" s="413"/>
      <c r="N1" s="413"/>
      <c r="O1" s="413"/>
      <c r="P1" s="29"/>
      <c r="Q1" s="29"/>
      <c r="R1" s="29"/>
      <c r="S1" s="29"/>
      <c r="T1" s="29"/>
      <c r="U1" s="29"/>
    </row>
    <row r="3" spans="1:21">
      <c r="A3" t="s">
        <v>2</v>
      </c>
      <c r="B3" s="414" t="s">
        <v>1</v>
      </c>
      <c r="C3" s="414"/>
      <c r="D3" s="414"/>
      <c r="E3" s="414"/>
      <c r="F3" s="414"/>
      <c r="G3" s="414"/>
      <c r="H3" s="414"/>
      <c r="I3" s="414"/>
      <c r="J3" s="414"/>
      <c r="K3" s="414"/>
    </row>
    <row r="4" spans="1:21">
      <c r="B4" s="28" t="s">
        <v>3</v>
      </c>
      <c r="C4" s="4" t="s">
        <v>4</v>
      </c>
    </row>
    <row r="5" spans="1:21">
      <c r="B5" s="28" t="s">
        <v>5</v>
      </c>
      <c r="C5" t="s">
        <v>6</v>
      </c>
    </row>
    <row r="6" spans="1:21">
      <c r="B6" s="28" t="s">
        <v>7</v>
      </c>
      <c r="C6" s="5">
        <v>16581.560000000001</v>
      </c>
    </row>
    <row r="7" spans="1:21">
      <c r="B7" s="28" t="s">
        <v>8</v>
      </c>
      <c r="C7" s="5">
        <v>5.5983793912588427</v>
      </c>
    </row>
    <row r="8" spans="1:21">
      <c r="B8" s="28" t="s">
        <v>9</v>
      </c>
      <c r="C8" s="5">
        <v>2961.85</v>
      </c>
    </row>
    <row r="9" spans="1:21">
      <c r="B9" s="28" t="s">
        <v>10</v>
      </c>
      <c r="C9" s="5">
        <v>2</v>
      </c>
    </row>
    <row r="10" spans="1:21">
      <c r="B10" s="28" t="s">
        <v>11</v>
      </c>
      <c r="C10" t="s">
        <v>12</v>
      </c>
    </row>
    <row r="11" spans="1:21">
      <c r="B11" s="28" t="s">
        <v>13</v>
      </c>
      <c r="C11" s="6" t="s">
        <v>14</v>
      </c>
    </row>
    <row r="12" spans="1:21">
      <c r="C12" s="6" t="s">
        <v>15</v>
      </c>
      <c r="D12" s="6"/>
      <c r="E12" s="6"/>
      <c r="F12" s="6"/>
      <c r="G12" s="6"/>
      <c r="H12" s="6"/>
      <c r="I12" s="6"/>
      <c r="J12" s="6"/>
      <c r="K12" s="6"/>
      <c r="L12" s="6"/>
      <c r="M12" s="6"/>
      <c r="N12" s="6"/>
      <c r="O12" s="6"/>
    </row>
    <row r="16" spans="1:21" ht="18.75">
      <c r="B16" s="412" t="s">
        <v>16</v>
      </c>
      <c r="C16" s="412"/>
      <c r="D16" s="412"/>
      <c r="E16" s="412"/>
      <c r="F16" s="412"/>
      <c r="G16" s="412"/>
      <c r="H16" s="412"/>
      <c r="I16" s="412"/>
      <c r="J16" s="412"/>
      <c r="K16" s="412"/>
      <c r="L16" s="412"/>
      <c r="M16" s="412"/>
      <c r="N16" s="412"/>
      <c r="O16" s="412"/>
      <c r="P16" s="412"/>
      <c r="Q16" s="412"/>
      <c r="R16" s="412"/>
      <c r="S16" s="412"/>
      <c r="T16" s="412"/>
      <c r="U16" s="412"/>
    </row>
    <row r="17" spans="1:14">
      <c r="B17" s="7"/>
      <c r="C17" s="7"/>
      <c r="D17" s="7"/>
      <c r="E17" s="7"/>
      <c r="F17" s="7"/>
      <c r="G17" s="7"/>
      <c r="H17" s="7"/>
      <c r="I17" s="7"/>
      <c r="J17" s="7"/>
      <c r="K17" s="7"/>
      <c r="L17" s="8"/>
    </row>
    <row r="18" spans="1:14">
      <c r="A18" t="s">
        <v>2</v>
      </c>
      <c r="B18" s="9" t="s">
        <v>17</v>
      </c>
      <c r="C18" s="10"/>
      <c r="D18" s="11"/>
      <c r="E18" s="11"/>
      <c r="F18" s="11"/>
      <c r="G18" s="11"/>
      <c r="H18" s="11"/>
      <c r="I18" s="11"/>
      <c r="J18" s="11"/>
      <c r="K18" s="11"/>
      <c r="L18" s="11"/>
      <c r="M18" s="11"/>
    </row>
    <row r="19" spans="1:14">
      <c r="B19" s="3"/>
      <c r="C19" s="12">
        <v>42460</v>
      </c>
      <c r="D19" s="12">
        <v>42825</v>
      </c>
      <c r="E19" s="12">
        <v>43190</v>
      </c>
      <c r="F19" s="12">
        <v>43555</v>
      </c>
      <c r="G19" s="12">
        <v>43921</v>
      </c>
      <c r="H19" s="12">
        <v>44286</v>
      </c>
      <c r="I19" s="12">
        <v>44651</v>
      </c>
      <c r="J19" s="12">
        <v>45016</v>
      </c>
      <c r="K19" s="12">
        <v>45382</v>
      </c>
      <c r="L19" s="12">
        <v>45747</v>
      </c>
      <c r="M19" s="12" t="s">
        <v>18</v>
      </c>
      <c r="N19" s="13"/>
    </row>
    <row r="20" spans="1:14">
      <c r="B20" t="s">
        <v>19</v>
      </c>
      <c r="C20" s="14">
        <v>42.15</v>
      </c>
      <c r="D20" s="14">
        <v>49.47</v>
      </c>
      <c r="E20" s="14">
        <v>56.72</v>
      </c>
      <c r="F20" s="14">
        <v>131.06</v>
      </c>
      <c r="G20" s="14">
        <v>156.1</v>
      </c>
      <c r="H20" s="14">
        <v>223.95</v>
      </c>
      <c r="I20" s="14">
        <v>310.85000000000002</v>
      </c>
      <c r="J20" s="14">
        <v>453.45</v>
      </c>
      <c r="K20" s="14">
        <v>519.79999999999995</v>
      </c>
      <c r="L20" s="14">
        <v>708.35</v>
      </c>
    </row>
    <row r="21" spans="1:14">
      <c r="B21" s="14" t="s">
        <v>20</v>
      </c>
      <c r="C21" s="14">
        <v>33.449999999999996</v>
      </c>
      <c r="D21" s="14">
        <v>38.64</v>
      </c>
      <c r="E21" s="14">
        <v>46.03</v>
      </c>
      <c r="F21" s="14">
        <v>90.499999999999986</v>
      </c>
      <c r="G21" s="14">
        <v>102.43</v>
      </c>
      <c r="H21" s="14">
        <v>122.97</v>
      </c>
      <c r="I21" s="14">
        <v>152.32999999999998</v>
      </c>
      <c r="J21" s="14">
        <v>255.77</v>
      </c>
      <c r="K21" s="14">
        <v>275.08999999999997</v>
      </c>
      <c r="L21" s="14">
        <v>390.16</v>
      </c>
    </row>
    <row r="22" spans="1:14">
      <c r="B22" s="14" t="s">
        <v>21</v>
      </c>
      <c r="C22" s="14">
        <v>8.7000000000000028</v>
      </c>
      <c r="D22" s="14">
        <v>10.829999999999998</v>
      </c>
      <c r="E22" s="14">
        <v>10.689999999999998</v>
      </c>
      <c r="F22" s="14">
        <v>40.560000000000016</v>
      </c>
      <c r="G22" s="14">
        <v>53.669999999999987</v>
      </c>
      <c r="H22" s="14">
        <v>100.97999999999999</v>
      </c>
      <c r="I22" s="14">
        <v>158.52000000000004</v>
      </c>
      <c r="J22" s="14">
        <v>197.67999999999998</v>
      </c>
      <c r="K22" s="14">
        <v>244.70999999999998</v>
      </c>
      <c r="L22" s="14">
        <v>318.19000000000005</v>
      </c>
    </row>
    <row r="23" spans="1:14">
      <c r="B23" s="14" t="s">
        <v>22</v>
      </c>
      <c r="C23" s="14">
        <v>1.83</v>
      </c>
      <c r="D23" s="14">
        <v>1.78</v>
      </c>
      <c r="E23" s="14">
        <v>1.8</v>
      </c>
      <c r="F23" s="14">
        <v>15.01</v>
      </c>
      <c r="G23" s="14">
        <v>10.51</v>
      </c>
      <c r="H23" s="14">
        <v>8.99</v>
      </c>
      <c r="I23" s="14">
        <v>17.48</v>
      </c>
      <c r="J23" s="14">
        <v>25.869999999999997</v>
      </c>
      <c r="K23" s="14">
        <v>23.090000000000003</v>
      </c>
      <c r="L23" s="14">
        <v>43.19</v>
      </c>
    </row>
    <row r="24" spans="1:14">
      <c r="B24" s="15" t="s">
        <v>23</v>
      </c>
      <c r="C24" s="15">
        <v>6.8700000000000028</v>
      </c>
      <c r="D24" s="15">
        <v>9.0499999999999989</v>
      </c>
      <c r="E24" s="15">
        <v>8.889999999999997</v>
      </c>
      <c r="F24" s="15">
        <v>25.550000000000018</v>
      </c>
      <c r="G24" s="15">
        <v>43.159999999999989</v>
      </c>
      <c r="H24" s="15">
        <v>91.99</v>
      </c>
      <c r="I24" s="15">
        <v>141.04000000000005</v>
      </c>
      <c r="J24" s="15">
        <v>171.80999999999997</v>
      </c>
      <c r="K24" s="15">
        <v>221.61999999999998</v>
      </c>
      <c r="L24" s="15">
        <v>275.00000000000006</v>
      </c>
    </row>
    <row r="25" spans="1:14">
      <c r="B25" s="14" t="s">
        <v>24</v>
      </c>
      <c r="C25" s="14">
        <v>2.27</v>
      </c>
      <c r="D25" s="14">
        <v>0.05</v>
      </c>
      <c r="E25" s="14">
        <v>0.16</v>
      </c>
      <c r="F25" s="14">
        <v>1.45</v>
      </c>
      <c r="G25" s="14">
        <v>4.09</v>
      </c>
      <c r="H25" s="14">
        <v>2.6</v>
      </c>
      <c r="I25" s="14">
        <v>3.96</v>
      </c>
      <c r="J25" s="14">
        <v>9.2200000000000006</v>
      </c>
      <c r="K25" s="14">
        <v>46.03</v>
      </c>
      <c r="L25" s="14">
        <v>46.34</v>
      </c>
    </row>
    <row r="26" spans="1:14">
      <c r="B26" s="14" t="s">
        <v>25</v>
      </c>
      <c r="C26" s="14">
        <v>5.15</v>
      </c>
      <c r="D26" s="14">
        <v>4.97</v>
      </c>
      <c r="E26" s="14">
        <v>5.1100000000000003</v>
      </c>
      <c r="F26" s="14">
        <v>10.78</v>
      </c>
      <c r="G26" s="14">
        <v>13.34</v>
      </c>
      <c r="H26" s="14">
        <v>14.5</v>
      </c>
      <c r="I26" s="14">
        <v>10.99</v>
      </c>
      <c r="J26" s="14">
        <v>7.74</v>
      </c>
      <c r="K26" s="14">
        <v>9.33</v>
      </c>
      <c r="L26" s="14">
        <v>12.08</v>
      </c>
    </row>
    <row r="27" spans="1:14">
      <c r="B27" s="14" t="s">
        <v>26</v>
      </c>
      <c r="C27" s="14">
        <v>3.18</v>
      </c>
      <c r="D27" s="14">
        <v>3.03</v>
      </c>
      <c r="E27" s="14">
        <v>2.92</v>
      </c>
      <c r="F27" s="14">
        <v>5.86</v>
      </c>
      <c r="G27" s="14">
        <v>5.48</v>
      </c>
      <c r="H27" s="14">
        <v>5.57</v>
      </c>
      <c r="I27" s="14">
        <v>6.63</v>
      </c>
      <c r="J27" s="14">
        <v>8.4600000000000009</v>
      </c>
      <c r="K27" s="14">
        <v>16.13</v>
      </c>
      <c r="L27" s="14">
        <v>13.92</v>
      </c>
    </row>
    <row r="28" spans="1:14">
      <c r="B28" s="15" t="s">
        <v>27</v>
      </c>
      <c r="C28" s="15">
        <v>0.81000000000000227</v>
      </c>
      <c r="D28" s="15">
        <v>1.0999999999999996</v>
      </c>
      <c r="E28" s="15">
        <v>1.019999999999996</v>
      </c>
      <c r="F28" s="15">
        <v>10.360000000000017</v>
      </c>
      <c r="G28" s="15">
        <v>28.429999999999986</v>
      </c>
      <c r="H28" s="15">
        <v>74.519999999999982</v>
      </c>
      <c r="I28" s="15">
        <v>127.38000000000005</v>
      </c>
      <c r="J28" s="15">
        <v>164.82999999999998</v>
      </c>
      <c r="K28" s="15">
        <v>242.18999999999997</v>
      </c>
      <c r="L28" s="15">
        <v>295.34000000000003</v>
      </c>
    </row>
    <row r="29" spans="1:14" ht="15.75" thickBot="1">
      <c r="B29" s="14" t="s">
        <v>28</v>
      </c>
      <c r="C29" s="14">
        <v>0.01</v>
      </c>
      <c r="D29" s="14">
        <v>0.39</v>
      </c>
      <c r="E29" s="14">
        <v>-0.23</v>
      </c>
      <c r="F29" s="14">
        <v>2.66</v>
      </c>
      <c r="G29" s="14">
        <v>7.38</v>
      </c>
      <c r="H29" s="14">
        <v>18.96</v>
      </c>
      <c r="I29" s="14">
        <v>33.409999999999997</v>
      </c>
      <c r="J29" s="14">
        <v>40.840000000000003</v>
      </c>
      <c r="K29" s="14">
        <v>60.5</v>
      </c>
      <c r="L29" s="14">
        <v>73.53</v>
      </c>
    </row>
    <row r="30" spans="1:14" ht="15.75" thickBot="1">
      <c r="B30" s="16" t="s">
        <v>29</v>
      </c>
      <c r="C30" s="16">
        <v>0.80000000000000226</v>
      </c>
      <c r="D30" s="16">
        <v>0.70999999999999963</v>
      </c>
      <c r="E30" s="16">
        <v>1.249999999999996</v>
      </c>
      <c r="F30" s="16">
        <v>7.7000000000000171</v>
      </c>
      <c r="G30" s="16">
        <v>21.049999999999986</v>
      </c>
      <c r="H30" s="16">
        <v>55.559999999999981</v>
      </c>
      <c r="I30" s="16">
        <v>93.970000000000056</v>
      </c>
      <c r="J30" s="16">
        <v>123.98999999999998</v>
      </c>
      <c r="K30" s="16">
        <v>181.68999999999997</v>
      </c>
      <c r="L30" s="16">
        <v>221.81000000000003</v>
      </c>
    </row>
    <row r="31" spans="1:14">
      <c r="B31" s="14" t="s">
        <v>30</v>
      </c>
      <c r="C31" s="14">
        <v>0.17</v>
      </c>
      <c r="D31" s="14">
        <v>0.17</v>
      </c>
      <c r="E31" s="14">
        <v>0.17</v>
      </c>
      <c r="F31" s="14">
        <v>0.17</v>
      </c>
      <c r="G31" s="14">
        <v>0.17</v>
      </c>
      <c r="H31" s="14">
        <v>0.17</v>
      </c>
      <c r="I31" s="14">
        <v>5.19</v>
      </c>
      <c r="J31" s="14">
        <v>5.6</v>
      </c>
      <c r="K31" s="14">
        <v>5.6</v>
      </c>
      <c r="L31" s="14">
        <v>5.6</v>
      </c>
    </row>
    <row r="32" spans="1:14">
      <c r="B32" s="14" t="s">
        <v>31</v>
      </c>
      <c r="C32" s="14">
        <v>4.7058823529411891</v>
      </c>
      <c r="D32" s="14">
        <v>4.1764705882352917</v>
      </c>
      <c r="E32" s="14">
        <v>7.3529411764705639</v>
      </c>
      <c r="F32" s="14">
        <v>45.294117647058918</v>
      </c>
      <c r="G32" s="14">
        <v>123.82352941176461</v>
      </c>
      <c r="H32" s="14">
        <v>326.82352941176458</v>
      </c>
      <c r="I32" s="14">
        <v>18.105973025048179</v>
      </c>
      <c r="J32" s="14">
        <v>22.141071428571426</v>
      </c>
      <c r="K32" s="14">
        <v>32.444642857142853</v>
      </c>
      <c r="L32" s="14">
        <v>39.608928571428578</v>
      </c>
    </row>
    <row r="33" spans="1:12">
      <c r="B33" s="14" t="s">
        <v>32</v>
      </c>
      <c r="C33" s="14">
        <v>2</v>
      </c>
      <c r="D33" s="14">
        <v>2</v>
      </c>
      <c r="E33" s="14">
        <v>0</v>
      </c>
      <c r="F33" s="14">
        <v>0</v>
      </c>
      <c r="G33" s="14">
        <v>0</v>
      </c>
      <c r="H33" s="14">
        <v>65.294117647058812</v>
      </c>
      <c r="I33" s="14">
        <v>3.4990366088631983</v>
      </c>
      <c r="J33" s="14">
        <v>4.5</v>
      </c>
      <c r="K33" s="14">
        <v>6.5</v>
      </c>
      <c r="L33" s="14">
        <v>7.9000000000000012</v>
      </c>
    </row>
    <row r="36" spans="1:12">
      <c r="A36" t="s">
        <v>2</v>
      </c>
      <c r="B36" s="9" t="s">
        <v>33</v>
      </c>
      <c r="C36" s="10"/>
      <c r="D36" s="11"/>
      <c r="E36" s="11"/>
      <c r="F36" s="11"/>
      <c r="G36" s="11"/>
      <c r="H36" s="11"/>
      <c r="I36" s="11"/>
      <c r="J36" s="11"/>
      <c r="K36" s="11"/>
      <c r="L36" s="11"/>
    </row>
    <row r="37" spans="1:12">
      <c r="B37" s="3"/>
      <c r="C37" s="12">
        <v>42460</v>
      </c>
      <c r="D37" s="12">
        <v>42825</v>
      </c>
      <c r="E37" s="12">
        <v>43190</v>
      </c>
      <c r="F37" s="12">
        <v>43555</v>
      </c>
      <c r="G37" s="12">
        <v>43921</v>
      </c>
      <c r="H37" s="12">
        <v>44286</v>
      </c>
      <c r="I37" s="12">
        <v>44651</v>
      </c>
      <c r="J37" s="12">
        <v>45016</v>
      </c>
      <c r="K37" s="12">
        <v>45382</v>
      </c>
      <c r="L37" s="12">
        <v>45747</v>
      </c>
    </row>
    <row r="38" spans="1:12">
      <c r="B38" t="s">
        <v>34</v>
      </c>
      <c r="C38" s="14">
        <v>1.7</v>
      </c>
      <c r="D38" s="14">
        <v>1.7</v>
      </c>
      <c r="E38" s="14">
        <v>1.7</v>
      </c>
      <c r="F38" s="14">
        <v>1.7</v>
      </c>
      <c r="G38" s="14">
        <v>1.7</v>
      </c>
      <c r="H38" s="14">
        <v>1.7</v>
      </c>
      <c r="I38" s="14">
        <v>10.38</v>
      </c>
      <c r="J38" s="14">
        <v>11.2</v>
      </c>
      <c r="K38" s="14">
        <v>11.2</v>
      </c>
      <c r="L38" s="14">
        <v>11.2</v>
      </c>
    </row>
    <row r="39" spans="1:12">
      <c r="B39" t="s">
        <v>35</v>
      </c>
      <c r="C39" s="14">
        <v>102.15</v>
      </c>
      <c r="D39" s="14">
        <v>102.86</v>
      </c>
      <c r="E39" s="14">
        <v>103.7</v>
      </c>
      <c r="F39" s="14">
        <v>131.19</v>
      </c>
      <c r="G39" s="14">
        <v>151.80000000000001</v>
      </c>
      <c r="H39" s="14">
        <v>206.23</v>
      </c>
      <c r="I39" s="14">
        <v>564.13</v>
      </c>
      <c r="J39" s="14">
        <v>1155.8800000000001</v>
      </c>
      <c r="K39" s="14">
        <v>1313.01</v>
      </c>
      <c r="L39" s="14">
        <v>1497.02</v>
      </c>
    </row>
    <row r="40" spans="1:12">
      <c r="B40" t="s">
        <v>36</v>
      </c>
      <c r="C40" s="14">
        <v>38.020000000000003</v>
      </c>
      <c r="D40" s="14">
        <v>34.99</v>
      </c>
      <c r="E40" s="14">
        <v>32</v>
      </c>
      <c r="F40" s="14">
        <v>60.14</v>
      </c>
      <c r="G40" s="14">
        <v>60.57</v>
      </c>
      <c r="H40" s="14">
        <v>37.17</v>
      </c>
      <c r="I40" s="14">
        <v>9.1999999999999993</v>
      </c>
      <c r="J40" s="14">
        <v>2.4900000000000002</v>
      </c>
      <c r="K40" s="14">
        <v>3.5</v>
      </c>
      <c r="L40" s="14">
        <v>6.17</v>
      </c>
    </row>
    <row r="41" spans="1:12">
      <c r="B41" t="s">
        <v>37</v>
      </c>
      <c r="C41" s="14">
        <v>14.97</v>
      </c>
      <c r="D41" s="14">
        <v>12.86</v>
      </c>
      <c r="E41" s="14">
        <v>16.91</v>
      </c>
      <c r="F41" s="14">
        <v>84.4</v>
      </c>
      <c r="G41" s="14">
        <v>81.290000000000006</v>
      </c>
      <c r="H41" s="14">
        <v>83.5</v>
      </c>
      <c r="I41" s="14">
        <v>122.96</v>
      </c>
      <c r="J41" s="14">
        <v>265.37</v>
      </c>
      <c r="K41" s="14">
        <v>364.06</v>
      </c>
      <c r="L41" s="14">
        <v>324.70999999999998</v>
      </c>
    </row>
    <row r="42" spans="1:12">
      <c r="B42" s="17" t="s">
        <v>38</v>
      </c>
      <c r="C42" s="18">
        <v>156.84</v>
      </c>
      <c r="D42" s="18">
        <v>152.41</v>
      </c>
      <c r="E42" s="18">
        <v>154.31</v>
      </c>
      <c r="F42" s="18">
        <v>277.43</v>
      </c>
      <c r="G42" s="18">
        <v>295.36</v>
      </c>
      <c r="H42" s="18">
        <v>328.6</v>
      </c>
      <c r="I42" s="18">
        <v>706.67</v>
      </c>
      <c r="J42" s="18">
        <v>1434.94</v>
      </c>
      <c r="K42" s="18">
        <v>1691.77</v>
      </c>
      <c r="L42" s="18">
        <v>1839.1</v>
      </c>
    </row>
    <row r="44" spans="1:12">
      <c r="B44" t="s">
        <v>39</v>
      </c>
      <c r="C44" s="14">
        <v>26.26</v>
      </c>
      <c r="D44" s="14">
        <v>23.61</v>
      </c>
      <c r="E44" s="14">
        <v>22.97</v>
      </c>
      <c r="F44" s="14">
        <v>36.44</v>
      </c>
      <c r="G44" s="14">
        <v>33.35</v>
      </c>
      <c r="H44" s="14">
        <v>33.21</v>
      </c>
      <c r="I44" s="14">
        <v>47.48</v>
      </c>
      <c r="J44" s="14">
        <v>112.04</v>
      </c>
      <c r="K44" s="14">
        <v>150.21</v>
      </c>
      <c r="L44" s="14">
        <v>283.52999999999997</v>
      </c>
    </row>
    <row r="45" spans="1:12">
      <c r="B45" t="s">
        <v>40</v>
      </c>
      <c r="C45" s="14">
        <v>0</v>
      </c>
      <c r="D45" s="14">
        <v>0</v>
      </c>
      <c r="E45" s="14">
        <v>0</v>
      </c>
      <c r="F45" s="14">
        <v>0</v>
      </c>
      <c r="G45" s="14">
        <v>0</v>
      </c>
      <c r="H45" s="14">
        <v>0</v>
      </c>
      <c r="I45" s="14">
        <v>17.3</v>
      </c>
      <c r="J45" s="14">
        <v>1.35</v>
      </c>
      <c r="K45" s="14">
        <v>48.08</v>
      </c>
      <c r="L45" s="14">
        <v>12.79</v>
      </c>
    </row>
    <row r="46" spans="1:12">
      <c r="B46" t="s">
        <v>41</v>
      </c>
      <c r="C46" s="14">
        <v>7.31</v>
      </c>
      <c r="D46" s="14">
        <v>7.31</v>
      </c>
      <c r="E46" s="14">
        <v>7.31</v>
      </c>
      <c r="F46" s="14">
        <v>0</v>
      </c>
      <c r="G46" s="14">
        <v>0</v>
      </c>
      <c r="H46" s="14">
        <v>0</v>
      </c>
      <c r="I46" s="14">
        <v>0</v>
      </c>
      <c r="J46" s="14">
        <v>55.68</v>
      </c>
      <c r="K46" s="14">
        <v>262.16000000000003</v>
      </c>
      <c r="L46" s="14">
        <v>326.55</v>
      </c>
    </row>
    <row r="47" spans="1:12">
      <c r="B47" t="s">
        <v>42</v>
      </c>
      <c r="C47" s="14">
        <v>32.22</v>
      </c>
      <c r="D47" s="14">
        <v>18.429999999999993</v>
      </c>
      <c r="E47" s="14">
        <v>3.8500000000000085</v>
      </c>
      <c r="F47" s="14">
        <v>51.050000000000011</v>
      </c>
      <c r="G47" s="14">
        <v>65.460000000000008</v>
      </c>
      <c r="H47" s="14">
        <v>56.909999999999968</v>
      </c>
      <c r="I47" s="14">
        <v>146.73000000000002</v>
      </c>
      <c r="J47" s="14">
        <v>142.65999999999985</v>
      </c>
      <c r="K47" s="14">
        <v>173.04999999999995</v>
      </c>
      <c r="L47" s="14">
        <v>174.92000000000007</v>
      </c>
    </row>
    <row r="48" spans="1:12">
      <c r="B48" s="19" t="s">
        <v>43</v>
      </c>
      <c r="C48" s="20">
        <v>65.789999999999992</v>
      </c>
      <c r="D48" s="20">
        <v>49.349999999999994</v>
      </c>
      <c r="E48" s="20">
        <v>34.13000000000001</v>
      </c>
      <c r="F48" s="20">
        <v>87.49</v>
      </c>
      <c r="G48" s="20">
        <v>98.81</v>
      </c>
      <c r="H48" s="20">
        <v>90.119999999999976</v>
      </c>
      <c r="I48" s="20">
        <v>211.51000000000002</v>
      </c>
      <c r="J48" s="20">
        <v>311.72999999999985</v>
      </c>
      <c r="K48" s="20">
        <v>633.5</v>
      </c>
      <c r="L48" s="20">
        <v>797.79000000000008</v>
      </c>
    </row>
    <row r="49" spans="1:12">
      <c r="B49" t="s">
        <v>44</v>
      </c>
      <c r="C49" s="14">
        <v>48.96</v>
      </c>
      <c r="D49" s="14">
        <v>54.27</v>
      </c>
      <c r="E49" s="14">
        <v>65.03</v>
      </c>
      <c r="F49" s="14">
        <v>102.94</v>
      </c>
      <c r="G49" s="14">
        <v>115.63</v>
      </c>
      <c r="H49" s="14">
        <v>155.94</v>
      </c>
      <c r="I49" s="14">
        <v>198.31</v>
      </c>
      <c r="J49" s="14">
        <v>382.48</v>
      </c>
      <c r="K49" s="14">
        <v>398.78</v>
      </c>
      <c r="L49" s="14">
        <v>596.4</v>
      </c>
    </row>
    <row r="50" spans="1:12">
      <c r="B50" t="s">
        <v>45</v>
      </c>
      <c r="C50" s="14">
        <v>40.85</v>
      </c>
      <c r="D50" s="14">
        <v>47.73</v>
      </c>
      <c r="E50" s="14">
        <v>54.01</v>
      </c>
      <c r="F50" s="14">
        <v>86.69</v>
      </c>
      <c r="G50" s="14">
        <v>79.41</v>
      </c>
      <c r="H50" s="14">
        <v>73.739999999999995</v>
      </c>
      <c r="I50" s="14">
        <v>119.77</v>
      </c>
      <c r="J50" s="14">
        <v>192.95</v>
      </c>
      <c r="K50" s="14">
        <v>266.8</v>
      </c>
      <c r="L50" s="14">
        <v>318.51</v>
      </c>
    </row>
    <row r="51" spans="1:12">
      <c r="B51" t="s">
        <v>46</v>
      </c>
      <c r="C51" s="14">
        <v>1.24</v>
      </c>
      <c r="D51" s="14">
        <v>1.06</v>
      </c>
      <c r="E51" s="14">
        <v>1.1399999999999999</v>
      </c>
      <c r="F51" s="14">
        <v>0.31</v>
      </c>
      <c r="G51" s="14">
        <v>1.51</v>
      </c>
      <c r="H51" s="14">
        <v>8.8000000000000007</v>
      </c>
      <c r="I51" s="14">
        <v>177.08</v>
      </c>
      <c r="J51" s="14">
        <v>547.78</v>
      </c>
      <c r="K51" s="14">
        <v>392.69</v>
      </c>
      <c r="L51" s="14">
        <v>126.4</v>
      </c>
    </row>
    <row r="52" spans="1:12">
      <c r="B52" s="19" t="s">
        <v>47</v>
      </c>
      <c r="C52" s="20">
        <v>91.05</v>
      </c>
      <c r="D52" s="20">
        <v>103.06</v>
      </c>
      <c r="E52" s="20">
        <v>120.17999999999999</v>
      </c>
      <c r="F52" s="20">
        <v>189.94</v>
      </c>
      <c r="G52" s="20">
        <v>196.54999999999998</v>
      </c>
      <c r="H52" s="20">
        <v>238.48000000000002</v>
      </c>
      <c r="I52" s="20">
        <v>495.16</v>
      </c>
      <c r="J52" s="20">
        <v>1123.21</v>
      </c>
      <c r="K52" s="20">
        <v>1058.27</v>
      </c>
      <c r="L52" s="20">
        <v>1041.31</v>
      </c>
    </row>
    <row r="54" spans="1:12">
      <c r="B54" s="17" t="s">
        <v>48</v>
      </c>
      <c r="C54" s="17">
        <v>156.83999999999997</v>
      </c>
      <c r="D54" s="17">
        <v>152.41</v>
      </c>
      <c r="E54" s="17">
        <v>154.31</v>
      </c>
      <c r="F54" s="17">
        <v>277.43</v>
      </c>
      <c r="G54" s="17">
        <v>295.36</v>
      </c>
      <c r="H54" s="17">
        <v>328.6</v>
      </c>
      <c r="I54" s="17">
        <v>706.67</v>
      </c>
      <c r="J54" s="17">
        <v>1434.9399999999998</v>
      </c>
      <c r="K54" s="17">
        <v>1691.77</v>
      </c>
      <c r="L54" s="17">
        <v>1839.1</v>
      </c>
    </row>
    <row r="57" spans="1:12">
      <c r="A57" s="21" t="s">
        <v>2</v>
      </c>
      <c r="B57" s="9" t="s">
        <v>49</v>
      </c>
      <c r="C57" s="10"/>
      <c r="D57" s="11"/>
      <c r="E57" s="11"/>
      <c r="F57" s="11"/>
      <c r="G57" s="11"/>
      <c r="H57" s="11"/>
      <c r="I57" s="11"/>
      <c r="J57" s="11"/>
      <c r="K57" s="11"/>
      <c r="L57" s="11"/>
    </row>
    <row r="58" spans="1:12">
      <c r="B58" s="3"/>
      <c r="C58" s="12">
        <v>42460</v>
      </c>
      <c r="D58" s="12">
        <v>42825</v>
      </c>
      <c r="E58" s="12">
        <v>43190</v>
      </c>
      <c r="F58" s="12">
        <v>43555</v>
      </c>
      <c r="G58" s="12">
        <v>43921</v>
      </c>
      <c r="H58" s="12">
        <v>44286</v>
      </c>
      <c r="I58" s="12">
        <v>44651</v>
      </c>
      <c r="J58" s="12">
        <v>45016</v>
      </c>
      <c r="K58" s="12">
        <v>45382</v>
      </c>
      <c r="L58" s="12">
        <v>45747</v>
      </c>
    </row>
    <row r="59" spans="1:12">
      <c r="B59" t="s">
        <v>50</v>
      </c>
      <c r="C59" s="14">
        <v>5.94</v>
      </c>
      <c r="D59" s="14">
        <v>8.58</v>
      </c>
      <c r="E59" s="14">
        <v>10.67</v>
      </c>
      <c r="F59" s="14">
        <v>-4.5</v>
      </c>
      <c r="G59" s="14">
        <v>13.41</v>
      </c>
      <c r="H59" s="14">
        <v>43.38</v>
      </c>
      <c r="I59" s="14">
        <v>52.19</v>
      </c>
      <c r="J59" s="14">
        <v>-17.239999999999998</v>
      </c>
      <c r="K59" s="14">
        <v>139.38</v>
      </c>
      <c r="L59" s="14">
        <v>-89.88</v>
      </c>
    </row>
    <row r="60" spans="1:12">
      <c r="B60" t="s">
        <v>51</v>
      </c>
      <c r="C60" s="14">
        <v>-0.05</v>
      </c>
      <c r="D60" s="14">
        <v>-0.27</v>
      </c>
      <c r="E60" s="14">
        <v>-2.17</v>
      </c>
      <c r="F60" s="14">
        <v>0.43</v>
      </c>
      <c r="G60" s="14">
        <v>1.41</v>
      </c>
      <c r="H60" s="14">
        <v>8.77</v>
      </c>
      <c r="I60" s="14">
        <v>-119.77</v>
      </c>
      <c r="J60" s="14">
        <v>-382.76</v>
      </c>
      <c r="K60" s="14">
        <v>-223.89</v>
      </c>
      <c r="L60" s="14">
        <v>89.04</v>
      </c>
    </row>
    <row r="61" spans="1:12">
      <c r="B61" t="s">
        <v>52</v>
      </c>
      <c r="C61" s="14">
        <v>-5.73</v>
      </c>
      <c r="D61" s="14">
        <v>-8.49</v>
      </c>
      <c r="E61" s="14">
        <v>-8.42</v>
      </c>
      <c r="F61" s="14">
        <v>2.25</v>
      </c>
      <c r="G61" s="14">
        <v>-13.63</v>
      </c>
      <c r="H61" s="14">
        <v>-44.86</v>
      </c>
      <c r="I61" s="14">
        <v>235.86</v>
      </c>
      <c r="J61" s="14">
        <v>438.1</v>
      </c>
      <c r="K61" s="14">
        <v>-42.53</v>
      </c>
      <c r="L61" s="14">
        <v>-49.64</v>
      </c>
    </row>
    <row r="62" spans="1:12">
      <c r="B62" s="17" t="s">
        <v>53</v>
      </c>
      <c r="C62" s="18">
        <v>0.16</v>
      </c>
      <c r="D62" s="18">
        <v>-0.18</v>
      </c>
      <c r="E62" s="18">
        <v>0.08</v>
      </c>
      <c r="F62" s="18">
        <v>-1.82</v>
      </c>
      <c r="G62" s="18">
        <v>1.2</v>
      </c>
      <c r="H62" s="18">
        <v>7.29</v>
      </c>
      <c r="I62" s="18">
        <v>168.28</v>
      </c>
      <c r="J62" s="18">
        <v>38.1</v>
      </c>
      <c r="K62" s="18">
        <v>-127.04</v>
      </c>
      <c r="L62" s="18">
        <v>-50.48</v>
      </c>
    </row>
    <row r="65" spans="1:24" ht="18.75">
      <c r="A65" t="s">
        <v>2</v>
      </c>
      <c r="B65" s="412" t="s">
        <v>54</v>
      </c>
      <c r="C65" s="412"/>
      <c r="D65" s="412"/>
      <c r="E65" s="412"/>
      <c r="F65" s="412"/>
      <c r="G65" s="412"/>
      <c r="H65" s="412"/>
      <c r="I65" s="412"/>
      <c r="J65" s="412"/>
      <c r="K65" s="412"/>
      <c r="L65" s="412"/>
      <c r="M65" s="412"/>
      <c r="N65" s="412"/>
      <c r="O65" s="412"/>
      <c r="P65" s="412"/>
      <c r="Q65" s="412"/>
      <c r="R65" s="412"/>
      <c r="S65" s="412"/>
      <c r="T65" s="412"/>
      <c r="U65" s="412"/>
    </row>
    <row r="66" spans="1:24">
      <c r="A66" s="8"/>
      <c r="B66" s="7"/>
      <c r="C66" s="7"/>
      <c r="D66" s="7"/>
      <c r="E66" s="7"/>
      <c r="F66" s="7"/>
      <c r="G66" s="7"/>
      <c r="H66" s="7"/>
      <c r="I66" s="7"/>
      <c r="J66" s="7"/>
      <c r="K66" s="7"/>
      <c r="L66" s="7"/>
      <c r="M66" s="7"/>
      <c r="N66" s="7"/>
      <c r="O66" s="7"/>
      <c r="P66" s="8"/>
      <c r="Q66" s="8"/>
      <c r="R66" s="8"/>
      <c r="S66" s="8"/>
      <c r="T66" s="8"/>
      <c r="U66" s="8"/>
      <c r="V66" s="8"/>
      <c r="W66" s="8"/>
      <c r="X66" s="8"/>
    </row>
    <row r="67" spans="1:24">
      <c r="B67" s="3" t="s">
        <v>55</v>
      </c>
      <c r="C67" s="12">
        <v>42460</v>
      </c>
      <c r="D67" s="12">
        <v>42825</v>
      </c>
      <c r="E67" s="12">
        <v>43190</v>
      </c>
      <c r="F67" s="12">
        <v>43555</v>
      </c>
      <c r="G67" s="12">
        <v>43921</v>
      </c>
      <c r="H67" s="12">
        <v>44286</v>
      </c>
      <c r="I67" s="12">
        <v>44651</v>
      </c>
      <c r="J67" s="12">
        <v>45016</v>
      </c>
      <c r="K67" s="12">
        <v>45382</v>
      </c>
      <c r="L67" s="12">
        <v>45747</v>
      </c>
      <c r="M67" s="3" t="s">
        <v>18</v>
      </c>
      <c r="N67" s="3" t="s">
        <v>56</v>
      </c>
      <c r="O67" s="3" t="s">
        <v>57</v>
      </c>
    </row>
    <row r="68" spans="1:24">
      <c r="B68" s="22" t="s">
        <v>58</v>
      </c>
    </row>
    <row r="69" spans="1:24">
      <c r="B69" t="s">
        <v>59</v>
      </c>
      <c r="C69" s="23" t="s">
        <v>60</v>
      </c>
      <c r="D69" s="23">
        <v>0.17366548042704627</v>
      </c>
      <c r="E69" s="23">
        <v>0.14655346674752376</v>
      </c>
      <c r="F69" s="23">
        <v>1.3106488011283499</v>
      </c>
      <c r="G69" s="23">
        <v>0.19105753090187694</v>
      </c>
      <c r="H69" s="23">
        <v>0.4346572709801409</v>
      </c>
      <c r="I69" s="23">
        <v>0.3880330430899756</v>
      </c>
      <c r="J69" s="23">
        <v>0.45874215859739409</v>
      </c>
      <c r="K69" s="23">
        <v>0.14632263755651112</v>
      </c>
      <c r="L69" s="23">
        <v>0.36273566756444803</v>
      </c>
      <c r="N69" s="23">
        <v>0.40137956188814072</v>
      </c>
      <c r="O69" s="23">
        <v>0.27689659923316245</v>
      </c>
    </row>
    <row r="70" spans="1:24">
      <c r="B70" t="s">
        <v>61</v>
      </c>
      <c r="C70" s="23" t="s">
        <v>60</v>
      </c>
      <c r="D70" s="23">
        <v>0.31732168850072712</v>
      </c>
      <c r="E70" s="23">
        <v>-1.7679558011049937E-2</v>
      </c>
      <c r="F70" s="23">
        <v>1.8740157480314992</v>
      </c>
      <c r="G70" s="23">
        <v>0.68923679060665199</v>
      </c>
      <c r="H70" s="23">
        <v>1.1313716404077854</v>
      </c>
      <c r="I70" s="23">
        <v>0.53321013153603714</v>
      </c>
      <c r="J70" s="23">
        <v>0.21816505955757171</v>
      </c>
      <c r="K70" s="23">
        <v>0.28991327629358016</v>
      </c>
      <c r="L70" s="23">
        <v>0.24086273802003469</v>
      </c>
      <c r="N70" s="23">
        <v>0.58626861277142639</v>
      </c>
      <c r="O70" s="23">
        <v>0.30361748239715364</v>
      </c>
    </row>
    <row r="71" spans="1:24">
      <c r="B71" t="s">
        <v>62</v>
      </c>
      <c r="C71" s="23" t="s">
        <v>60</v>
      </c>
      <c r="D71" s="23">
        <v>0.35802469135802045</v>
      </c>
      <c r="E71" s="23">
        <v>-7.2727272727276041E-2</v>
      </c>
      <c r="F71" s="23">
        <v>9.1568627450980955</v>
      </c>
      <c r="G71" s="23">
        <v>1.7442084942084883</v>
      </c>
      <c r="H71" s="23">
        <v>1.6211748153359136</v>
      </c>
      <c r="I71" s="23">
        <v>0.70933977455716701</v>
      </c>
      <c r="J71" s="23">
        <v>0.29400219814727518</v>
      </c>
      <c r="K71" s="23">
        <v>0.46933203907055748</v>
      </c>
      <c r="L71" s="23">
        <v>0.21945579916594438</v>
      </c>
      <c r="N71" s="23">
        <v>1.6110748093571319</v>
      </c>
      <c r="O71" s="23">
        <v>0.41367836521428897</v>
      </c>
    </row>
    <row r="72" spans="1:24">
      <c r="B72" t="s">
        <v>63</v>
      </c>
      <c r="C72" s="23" t="s">
        <v>60</v>
      </c>
      <c r="D72" s="23">
        <v>-0.11250000000000297</v>
      </c>
      <c r="E72" s="23">
        <v>0.76056338028168546</v>
      </c>
      <c r="F72" s="23">
        <v>5.160000000000033</v>
      </c>
      <c r="G72" s="23">
        <v>1.7337662337662259</v>
      </c>
      <c r="H72" s="23">
        <v>1.6394299287410932</v>
      </c>
      <c r="I72" s="23">
        <v>0.6913246940244796</v>
      </c>
      <c r="J72" s="23">
        <v>0.31946365861445042</v>
      </c>
      <c r="K72" s="23">
        <v>0.46536010968626501</v>
      </c>
      <c r="L72" s="23">
        <v>0.22081567505091126</v>
      </c>
      <c r="N72" s="23">
        <v>1.2086915200183492</v>
      </c>
      <c r="O72" s="23">
        <v>0.57834240185537233</v>
      </c>
    </row>
    <row r="73" spans="1:24">
      <c r="B73" t="s">
        <v>64</v>
      </c>
      <c r="C73" s="23" t="s">
        <v>60</v>
      </c>
      <c r="D73" s="23">
        <v>0</v>
      </c>
      <c r="E73" s="23">
        <v>-1</v>
      </c>
      <c r="F73" s="23">
        <v>0</v>
      </c>
      <c r="G73" s="23">
        <v>0</v>
      </c>
      <c r="H73" s="23">
        <v>0</v>
      </c>
      <c r="I73" s="23">
        <v>-0.9464111510354285</v>
      </c>
      <c r="J73" s="23">
        <v>0.28606828193832601</v>
      </c>
      <c r="K73" s="23">
        <v>0.44444444444444442</v>
      </c>
      <c r="L73" s="23">
        <v>0.21538461538461556</v>
      </c>
      <c r="N73" s="23">
        <v>-0.1111682010297825</v>
      </c>
      <c r="O73" s="23">
        <v>0</v>
      </c>
    </row>
    <row r="74" spans="1:24">
      <c r="O74" s="23"/>
    </row>
    <row r="75" spans="1:24">
      <c r="B75" s="22" t="s">
        <v>65</v>
      </c>
      <c r="O75" s="23"/>
    </row>
    <row r="76" spans="1:24">
      <c r="B76" t="s">
        <v>66</v>
      </c>
      <c r="C76" s="23">
        <v>0.20640569395017802</v>
      </c>
      <c r="D76" s="23">
        <v>0.21892055791388718</v>
      </c>
      <c r="E76" s="23">
        <v>0.18846967559943578</v>
      </c>
      <c r="F76" s="23">
        <v>0.30947657561422259</v>
      </c>
      <c r="G76" s="23">
        <v>0.34381806534272896</v>
      </c>
      <c r="H76" s="23">
        <v>0.45090421969189548</v>
      </c>
      <c r="I76" s="23">
        <v>0.5099565706932605</v>
      </c>
      <c r="J76" s="23">
        <v>0.4359466313816297</v>
      </c>
      <c r="K76" s="23">
        <v>0.47077722200846478</v>
      </c>
      <c r="L76" s="23">
        <v>0.44919884238017938</v>
      </c>
      <c r="N76" s="23">
        <v>0.37527426229174499</v>
      </c>
      <c r="O76" s="23">
        <v>0.38988234836217933</v>
      </c>
    </row>
    <row r="77" spans="1:24">
      <c r="B77" t="s">
        <v>67</v>
      </c>
      <c r="C77" s="23">
        <v>0.16298932384341644</v>
      </c>
      <c r="D77" s="23">
        <v>0.18293915504346067</v>
      </c>
      <c r="E77" s="23">
        <v>0.15673483779971786</v>
      </c>
      <c r="F77" s="23">
        <v>0.19494887837631633</v>
      </c>
      <c r="G77" s="23">
        <v>0.27648942985265851</v>
      </c>
      <c r="H77" s="23">
        <v>0.41076133065416387</v>
      </c>
      <c r="I77" s="23">
        <v>0.45372366092970901</v>
      </c>
      <c r="J77" s="23">
        <v>0.37889513728084678</v>
      </c>
      <c r="K77" s="23">
        <v>0.4263562908811081</v>
      </c>
      <c r="L77" s="23">
        <v>0.38822615938448513</v>
      </c>
      <c r="N77" s="23">
        <v>0.31878609780027412</v>
      </c>
      <c r="O77" s="23">
        <v>0.32769228356675262</v>
      </c>
    </row>
    <row r="78" spans="1:24">
      <c r="B78" t="s">
        <v>68</v>
      </c>
      <c r="C78" s="23">
        <v>8.7544483985765184E-2</v>
      </c>
      <c r="D78" s="23">
        <v>0.12168991307863351</v>
      </c>
      <c r="E78" s="23">
        <v>0.10525387870239769</v>
      </c>
      <c r="F78" s="23">
        <v>0.15023653288570135</v>
      </c>
      <c r="G78" s="23">
        <v>0.24138372837924404</v>
      </c>
      <c r="H78" s="23">
        <v>0.38588970752400087</v>
      </c>
      <c r="I78" s="23">
        <v>0.43239504584204613</v>
      </c>
      <c r="J78" s="23">
        <v>0.36023817399933833</v>
      </c>
      <c r="K78" s="23">
        <v>0.39532512504809542</v>
      </c>
      <c r="L78" s="23">
        <v>0.36857485706218684</v>
      </c>
      <c r="N78" s="23">
        <v>0.28455410694684935</v>
      </c>
      <c r="O78" s="23">
        <v>0.30081095118929119</v>
      </c>
    </row>
    <row r="79" spans="1:24">
      <c r="B79" t="s">
        <v>69</v>
      </c>
      <c r="C79" s="23">
        <v>1.9217081850533863E-2</v>
      </c>
      <c r="D79" s="23">
        <v>2.2235698403072563E-2</v>
      </c>
      <c r="E79" s="23">
        <v>1.7983074753173414E-2</v>
      </c>
      <c r="F79" s="23">
        <v>7.9047764382725594E-2</v>
      </c>
      <c r="G79" s="23">
        <v>0.18212684176809729</v>
      </c>
      <c r="H79" s="23">
        <v>0.3327528466175485</v>
      </c>
      <c r="I79" s="23">
        <v>0.40977963648061783</v>
      </c>
      <c r="J79" s="23">
        <v>0.36350203991619801</v>
      </c>
      <c r="K79" s="23">
        <v>0.46592920353982298</v>
      </c>
      <c r="L79" s="23">
        <v>0.41694077786405032</v>
      </c>
      <c r="N79" s="23">
        <v>0.25447754263614519</v>
      </c>
      <c r="O79" s="23">
        <v>0.2574398441928229</v>
      </c>
    </row>
    <row r="80" spans="1:24">
      <c r="B80" t="s">
        <v>70</v>
      </c>
      <c r="C80" s="23">
        <v>1.8979833926453197E-2</v>
      </c>
      <c r="D80" s="23">
        <v>1.435213260561956E-2</v>
      </c>
      <c r="E80" s="23">
        <v>2.2038081805359593E-2</v>
      </c>
      <c r="F80" s="23">
        <v>5.8751716770944734E-2</v>
      </c>
      <c r="G80" s="23">
        <v>0.13484945547725807</v>
      </c>
      <c r="H80" s="23">
        <v>0.24809109176155383</v>
      </c>
      <c r="I80" s="23">
        <v>0.30230014476435596</v>
      </c>
      <c r="J80" s="23">
        <v>0.27343698312934167</v>
      </c>
      <c r="K80" s="23">
        <v>0.3495382839553674</v>
      </c>
      <c r="L80" s="23">
        <v>0.31313616150208234</v>
      </c>
      <c r="N80" s="23">
        <v>0.19072156130798701</v>
      </c>
      <c r="O80" s="23">
        <v>0.19147027361940594</v>
      </c>
    </row>
    <row r="81" spans="2:15">
      <c r="O81" s="23"/>
    </row>
    <row r="82" spans="2:15">
      <c r="B82" s="22" t="s">
        <v>71</v>
      </c>
      <c r="O82" s="23"/>
    </row>
    <row r="83" spans="2:15">
      <c r="B83" t="s">
        <v>72</v>
      </c>
      <c r="C83" s="24">
        <v>0.86090686274509798</v>
      </c>
      <c r="D83" s="24">
        <v>0.91155334438916524</v>
      </c>
      <c r="E83" s="24">
        <v>0.87221282485006912</v>
      </c>
      <c r="F83" s="24">
        <v>1.2731688362152711</v>
      </c>
      <c r="G83" s="24">
        <v>1.3499956758626654</v>
      </c>
      <c r="H83" s="24">
        <v>1.436129280492497</v>
      </c>
      <c r="I83" s="24">
        <v>1.5674953355856993</v>
      </c>
      <c r="J83" s="24">
        <v>1.1855521857352018</v>
      </c>
      <c r="K83" s="24">
        <v>1.3034756005817745</v>
      </c>
      <c r="L83" s="24">
        <v>1.1877095908786051</v>
      </c>
      <c r="N83" s="24">
        <v>1.2319214082878833</v>
      </c>
      <c r="O83" s="24">
        <v>1.230439213546938</v>
      </c>
    </row>
    <row r="84" spans="2:15">
      <c r="B84" t="s">
        <v>73</v>
      </c>
      <c r="C84" s="24">
        <v>2.234468937875751</v>
      </c>
      <c r="D84" s="24">
        <v>3.0046656298600314</v>
      </c>
      <c r="E84" s="24">
        <v>2.7220579538734477</v>
      </c>
      <c r="F84" s="24">
        <v>1.0722748815165875</v>
      </c>
      <c r="G84" s="24">
        <v>1.2600565875261409</v>
      </c>
      <c r="H84" s="24">
        <v>1.4726946107784431</v>
      </c>
      <c r="I84" s="24">
        <v>1.2388581652569941</v>
      </c>
      <c r="J84" s="24">
        <v>0.96382409466028562</v>
      </c>
      <c r="K84" s="24">
        <v>0.75561720595506232</v>
      </c>
      <c r="L84" s="24">
        <v>1.2015644729142927</v>
      </c>
      <c r="N84" s="24">
        <v>1.5212904002601428</v>
      </c>
      <c r="O84" s="24">
        <v>1.2202113190856434</v>
      </c>
    </row>
    <row r="85" spans="2:15">
      <c r="B85" t="s">
        <v>74</v>
      </c>
      <c r="C85" s="24">
        <v>0.81884944920440628</v>
      </c>
      <c r="D85" s="24">
        <v>0.80955373978629797</v>
      </c>
      <c r="E85" s="24">
        <v>0.85224958341047963</v>
      </c>
      <c r="F85" s="24">
        <v>1.0439497058484253</v>
      </c>
      <c r="G85" s="24">
        <v>1.2898879234353358</v>
      </c>
      <c r="H85" s="24">
        <v>1.6676159479251425</v>
      </c>
      <c r="I85" s="24">
        <v>1.2718543875761876</v>
      </c>
      <c r="J85" s="24">
        <v>1.3255765742420318</v>
      </c>
      <c r="K85" s="24">
        <v>1.0310719640179908</v>
      </c>
      <c r="L85" s="24">
        <v>1.2249536906219585</v>
      </c>
      <c r="N85" s="24">
        <v>1.1685237240959834</v>
      </c>
      <c r="O85" s="24">
        <v>1.1344516982351918</v>
      </c>
    </row>
    <row r="86" spans="2:15">
      <c r="B86" t="s">
        <v>75</v>
      </c>
      <c r="C86" s="24">
        <v>1.6051028179741049</v>
      </c>
      <c r="D86" s="24">
        <v>2.0952986022871665</v>
      </c>
      <c r="E86" s="24">
        <v>2.4693077927731824</v>
      </c>
      <c r="F86" s="24">
        <v>3.5965971459934143</v>
      </c>
      <c r="G86" s="24">
        <v>4.6806596701649168</v>
      </c>
      <c r="H86" s="24">
        <v>6.7434507678410114</v>
      </c>
      <c r="I86" s="24">
        <v>6.5469671440606581</v>
      </c>
      <c r="J86" s="24">
        <v>4.0472152802570509</v>
      </c>
      <c r="K86" s="24">
        <v>3.4604886492244185</v>
      </c>
      <c r="L86" s="24">
        <v>2.4983246922724232</v>
      </c>
      <c r="N86" s="24">
        <v>4.0153677494304709</v>
      </c>
      <c r="O86" s="24">
        <v>3.5285428976089164</v>
      </c>
    </row>
    <row r="87" spans="2:15">
      <c r="B87" t="s">
        <v>76</v>
      </c>
      <c r="C87" s="24">
        <v>0.4058738565238324</v>
      </c>
      <c r="D87" s="24">
        <v>0.47312547819433814</v>
      </c>
      <c r="E87" s="24">
        <v>0.53814041745730545</v>
      </c>
      <c r="F87" s="24">
        <v>0.98622921213033343</v>
      </c>
      <c r="G87" s="24">
        <v>1.0169381107491857</v>
      </c>
      <c r="H87" s="24">
        <v>1.0770451594286539</v>
      </c>
      <c r="I87" s="24">
        <v>0.54106978120485283</v>
      </c>
      <c r="J87" s="24">
        <v>0.38853377660485994</v>
      </c>
      <c r="K87" s="24">
        <v>0.39253592708105206</v>
      </c>
      <c r="L87" s="24">
        <v>0.46965959873228047</v>
      </c>
      <c r="N87" s="24">
        <v>0.65369749573142921</v>
      </c>
      <c r="O87" s="24">
        <v>0.5056329478258218</v>
      </c>
    </row>
    <row r="88" spans="2:15">
      <c r="O88" s="23"/>
    </row>
    <row r="89" spans="2:15">
      <c r="B89" s="22" t="s">
        <v>77</v>
      </c>
      <c r="O89" s="23"/>
    </row>
    <row r="90" spans="2:15">
      <c r="B90" t="s">
        <v>78</v>
      </c>
      <c r="O90" s="23"/>
    </row>
    <row r="91" spans="2:15">
      <c r="B91" t="s">
        <v>79</v>
      </c>
      <c r="C91" s="24">
        <v>0.71650485436893252</v>
      </c>
      <c r="D91" s="24">
        <v>1.2112676056338028</v>
      </c>
      <c r="E91" s="24">
        <v>1.1682974559686883</v>
      </c>
      <c r="F91" s="24">
        <v>1.8265306122448999</v>
      </c>
      <c r="G91" s="24">
        <v>2.824587706146926</v>
      </c>
      <c r="H91" s="24">
        <v>5.9599999999999991</v>
      </c>
      <c r="I91" s="24">
        <v>12.230209281164699</v>
      </c>
      <c r="J91" s="24">
        <v>21.104651162790692</v>
      </c>
      <c r="K91" s="24">
        <v>22.024651661307608</v>
      </c>
      <c r="L91" s="24">
        <v>21.612582781456958</v>
      </c>
      <c r="N91" s="24">
        <v>9.9958642518571388</v>
      </c>
      <c r="O91" s="24">
        <v>4.392293853073463</v>
      </c>
    </row>
    <row r="92" spans="2:15">
      <c r="O92" s="23"/>
    </row>
    <row r="93" spans="2:15">
      <c r="B93" s="22" t="s">
        <v>80</v>
      </c>
      <c r="O93" s="23"/>
    </row>
    <row r="94" spans="2:15">
      <c r="B94" t="s">
        <v>81</v>
      </c>
      <c r="C94" s="23">
        <v>2.6009727215056056E-2</v>
      </c>
      <c r="D94" s="23">
        <v>4.3138659978502324E-2</v>
      </c>
      <c r="E94" s="23">
        <v>4.344978165938862E-2</v>
      </c>
      <c r="F94" s="23">
        <v>0.10200486970937171</v>
      </c>
      <c r="G94" s="23">
        <v>0.17601719063857613</v>
      </c>
      <c r="H94" s="23">
        <v>0.35259077927376581</v>
      </c>
      <c r="I94" s="23">
        <v>0.2302684552260541</v>
      </c>
      <c r="J94" s="23">
        <v>0.13966671511752177</v>
      </c>
      <c r="K94" s="23">
        <v>0.15477024350196955</v>
      </c>
      <c r="L94" s="23">
        <v>0.172399447962546</v>
      </c>
      <c r="N94" s="23">
        <v>0.15714512700752178</v>
      </c>
      <c r="O94" s="23">
        <v>0.14721847930974566</v>
      </c>
    </row>
    <row r="95" spans="2:15">
      <c r="B95" t="s">
        <v>82</v>
      </c>
      <c r="C95" s="23">
        <v>0.57500000000000107</v>
      </c>
      <c r="D95" s="23">
        <v>0.52112676056338003</v>
      </c>
      <c r="E95" s="23">
        <v>1</v>
      </c>
      <c r="F95" s="23">
        <v>1</v>
      </c>
      <c r="G95" s="23">
        <v>1</v>
      </c>
      <c r="H95" s="23">
        <v>0.80021598272138228</v>
      </c>
      <c r="I95" s="23">
        <v>0.80674683409598824</v>
      </c>
      <c r="J95" s="23">
        <v>0.79675780304863286</v>
      </c>
      <c r="K95" s="23">
        <v>0.79965875942539488</v>
      </c>
      <c r="L95" s="23">
        <v>0.80055002028763356</v>
      </c>
      <c r="N95" s="23">
        <v>0.83611735112693464</v>
      </c>
      <c r="O95" s="23">
        <v>0.80038300150450792</v>
      </c>
    </row>
    <row r="96" spans="2:15">
      <c r="B96" t="s">
        <v>83</v>
      </c>
      <c r="C96" s="23">
        <v>7.7034183919114322E-3</v>
      </c>
      <c r="D96" s="23">
        <v>6.7903596021423067E-3</v>
      </c>
      <c r="E96" s="23">
        <v>1.1859582542694459E-2</v>
      </c>
      <c r="F96" s="23">
        <v>5.7942659342313324E-2</v>
      </c>
      <c r="G96" s="23">
        <v>0.13713355048859927</v>
      </c>
      <c r="H96" s="23">
        <v>0.26720530947915155</v>
      </c>
      <c r="I96" s="23">
        <v>0.16356547318584544</v>
      </c>
      <c r="J96" s="23">
        <v>0.10623950371868249</v>
      </c>
      <c r="K96" s="23">
        <v>0.13720633434274018</v>
      </c>
      <c r="L96" s="23">
        <v>0.14706740395963455</v>
      </c>
      <c r="N96" s="23">
        <v>0.11500113074020041</v>
      </c>
      <c r="O96" s="23">
        <v>0.12168652710364088</v>
      </c>
    </row>
    <row r="97" spans="1:24">
      <c r="B97" t="s">
        <v>84</v>
      </c>
      <c r="C97" s="23">
        <v>4.4294655753490814E-3</v>
      </c>
      <c r="D97" s="23">
        <v>3.5386381025248625E-3</v>
      </c>
      <c r="E97" s="23">
        <v>1.1859582542694459E-2</v>
      </c>
      <c r="F97" s="23">
        <v>5.7942659342313324E-2</v>
      </c>
      <c r="G97" s="23">
        <v>0.13713355048859927</v>
      </c>
      <c r="H97" s="23">
        <v>0.21382195931323034</v>
      </c>
      <c r="I97" s="23">
        <v>0.13195592766009306</v>
      </c>
      <c r="J97" s="23">
        <v>8.4647153579874526E-2</v>
      </c>
      <c r="K97" s="23">
        <v>0.10971824710582156</v>
      </c>
      <c r="L97" s="23">
        <v>0.11773481322353505</v>
      </c>
      <c r="N97" s="23">
        <v>9.6483614595409606E-2</v>
      </c>
      <c r="O97" s="23">
        <v>9.7182700342848038E-2</v>
      </c>
    </row>
    <row r="98" spans="1:24">
      <c r="B98" s="22"/>
      <c r="O98" s="23"/>
    </row>
    <row r="99" spans="1:24">
      <c r="B99" s="22" t="s">
        <v>85</v>
      </c>
      <c r="O99" s="23"/>
    </row>
    <row r="100" spans="1:24">
      <c r="B100" t="s">
        <v>86</v>
      </c>
      <c r="C100" s="25">
        <v>423.97153024911034</v>
      </c>
      <c r="D100" s="25">
        <v>400.41540327471199</v>
      </c>
      <c r="E100" s="25">
        <v>418.47584626234135</v>
      </c>
      <c r="F100" s="25">
        <v>286.68625057225694</v>
      </c>
      <c r="G100" s="25">
        <v>270.37123638693146</v>
      </c>
      <c r="H100" s="25">
        <v>254.15539182853317</v>
      </c>
      <c r="I100" s="25">
        <v>232.8555573427698</v>
      </c>
      <c r="J100" s="25">
        <v>307.87341492998127</v>
      </c>
      <c r="K100" s="25">
        <v>280.02058484032318</v>
      </c>
      <c r="L100" s="25">
        <v>307.31418084280369</v>
      </c>
      <c r="N100" s="25">
        <v>306.46309625340587</v>
      </c>
      <c r="O100" s="25">
        <v>283.35341770629009</v>
      </c>
    </row>
    <row r="101" spans="1:24">
      <c r="B101" t="s">
        <v>87</v>
      </c>
      <c r="C101" s="25">
        <v>163.3497757847534</v>
      </c>
      <c r="D101" s="25">
        <v>121.47774327122153</v>
      </c>
      <c r="E101" s="25">
        <v>134.08972409298283</v>
      </c>
      <c r="F101" s="25">
        <v>340.39779005524866</v>
      </c>
      <c r="G101" s="25">
        <v>289.66953041101243</v>
      </c>
      <c r="H101" s="25">
        <v>247.84500284622266</v>
      </c>
      <c r="I101" s="25">
        <v>294.62614061576841</v>
      </c>
      <c r="J101" s="25">
        <v>378.6998084216288</v>
      </c>
      <c r="K101" s="25">
        <v>483.04882038605547</v>
      </c>
      <c r="L101" s="25">
        <v>303.77063256100064</v>
      </c>
      <c r="N101" s="25">
        <v>288.18057696234905</v>
      </c>
      <c r="O101" s="25">
        <v>292.14783551339042</v>
      </c>
    </row>
    <row r="102" spans="1:24">
      <c r="B102" t="s">
        <v>88</v>
      </c>
      <c r="C102" s="25">
        <v>445.74738415545596</v>
      </c>
      <c r="D102" s="25">
        <v>450.86568322981367</v>
      </c>
      <c r="E102" s="25">
        <v>428.27829676298063</v>
      </c>
      <c r="F102" s="25">
        <v>349.63370165745863</v>
      </c>
      <c r="G102" s="25">
        <v>282.97032119496237</v>
      </c>
      <c r="H102" s="25">
        <v>218.87533544767015</v>
      </c>
      <c r="I102" s="25">
        <v>286.98253791111404</v>
      </c>
      <c r="J102" s="25">
        <v>275.35187864096645</v>
      </c>
      <c r="K102" s="25">
        <v>354.00050892435206</v>
      </c>
      <c r="L102" s="25">
        <v>297.97044802132461</v>
      </c>
      <c r="N102" s="25">
        <v>327.21430131007145</v>
      </c>
      <c r="O102" s="25">
        <v>292.47649296621933</v>
      </c>
    </row>
    <row r="103" spans="1:24">
      <c r="B103" t="s">
        <v>89</v>
      </c>
      <c r="C103" s="25">
        <v>706.36913861981282</v>
      </c>
      <c r="D103" s="25">
        <v>729.80334323330408</v>
      </c>
      <c r="E103" s="25">
        <v>712.66441893233923</v>
      </c>
      <c r="F103" s="25">
        <v>295.92216217446691</v>
      </c>
      <c r="G103" s="25">
        <v>263.67202717088134</v>
      </c>
      <c r="H103" s="25">
        <v>225.18572442998067</v>
      </c>
      <c r="I103" s="25">
        <v>225.2119546381154</v>
      </c>
      <c r="J103" s="25">
        <v>204.52548514931897</v>
      </c>
      <c r="K103" s="25">
        <v>150.97227337861978</v>
      </c>
      <c r="L103" s="25">
        <v>301.51399630312767</v>
      </c>
      <c r="N103" s="25">
        <v>345.49682060112832</v>
      </c>
      <c r="O103" s="25">
        <v>244.44199090449837</v>
      </c>
    </row>
    <row r="105" spans="1:24" ht="18.75">
      <c r="A105" t="s">
        <v>2</v>
      </c>
      <c r="B105" s="412" t="s">
        <v>90</v>
      </c>
      <c r="C105" s="412"/>
      <c r="D105" s="412"/>
      <c r="E105" s="412"/>
      <c r="F105" s="412"/>
      <c r="G105" s="412"/>
      <c r="H105" s="412"/>
      <c r="I105" s="412"/>
      <c r="J105" s="412"/>
      <c r="K105" s="412"/>
      <c r="L105" s="412"/>
      <c r="M105" s="412"/>
      <c r="N105" s="412"/>
      <c r="O105" s="412"/>
      <c r="P105" s="412"/>
      <c r="Q105" s="412"/>
      <c r="R105" s="412"/>
      <c r="S105" s="412"/>
      <c r="T105" s="412"/>
      <c r="U105" s="412"/>
    </row>
    <row r="106" spans="1:24">
      <c r="A106" s="8"/>
      <c r="B106" s="7"/>
      <c r="C106" s="26" t="s">
        <v>91</v>
      </c>
      <c r="D106" s="26" t="s">
        <v>57</v>
      </c>
      <c r="E106" s="26"/>
      <c r="F106" s="7"/>
      <c r="G106" s="7"/>
      <c r="H106" s="7"/>
      <c r="I106" s="7"/>
      <c r="J106" s="7"/>
      <c r="K106" s="8"/>
      <c r="L106" s="8"/>
      <c r="M106" s="8"/>
      <c r="N106" s="8"/>
      <c r="O106" s="8"/>
      <c r="P106" s="8"/>
      <c r="Q106" s="8"/>
      <c r="R106" s="8"/>
      <c r="S106" s="8"/>
      <c r="T106" s="8"/>
      <c r="U106" s="8"/>
      <c r="V106" s="8"/>
      <c r="W106" s="8"/>
      <c r="X106" s="8"/>
    </row>
    <row r="107" spans="1:24">
      <c r="B107" s="22" t="s">
        <v>92</v>
      </c>
      <c r="C107" s="27">
        <v>74.777331950768655</v>
      </c>
      <c r="D107" s="27">
        <v>68.400000000000006</v>
      </c>
    </row>
    <row r="108" spans="1:24">
      <c r="B108" s="22" t="s">
        <v>93</v>
      </c>
      <c r="C108">
        <v>10.98</v>
      </c>
      <c r="D108" s="27">
        <v>10.4</v>
      </c>
    </row>
    <row r="109" spans="1:24">
      <c r="B109" s="22" t="s">
        <v>94</v>
      </c>
      <c r="C109" s="27">
        <v>23.408710383285101</v>
      </c>
      <c r="D109" s="27">
        <v>21.5</v>
      </c>
    </row>
    <row r="110" spans="1:24">
      <c r="B110" s="22" t="s">
        <v>95</v>
      </c>
      <c r="C110">
        <v>51.1</v>
      </c>
      <c r="D110" s="27">
        <v>46.3</v>
      </c>
    </row>
    <row r="112" spans="1:24" ht="18.75">
      <c r="A112" t="s">
        <v>2</v>
      </c>
      <c r="B112" s="412" t="s">
        <v>96</v>
      </c>
      <c r="C112" s="412"/>
      <c r="D112" s="412"/>
      <c r="E112" s="412"/>
      <c r="F112" s="412"/>
      <c r="G112" s="412"/>
      <c r="H112" s="412"/>
      <c r="I112" s="412"/>
      <c r="J112" s="412"/>
      <c r="K112" s="412"/>
      <c r="L112" s="412"/>
      <c r="M112" s="412"/>
      <c r="N112" s="412"/>
      <c r="O112" s="412"/>
      <c r="P112" s="412"/>
      <c r="Q112" s="412"/>
      <c r="R112" s="412"/>
      <c r="S112" s="412"/>
      <c r="T112" s="412"/>
      <c r="U112" s="412"/>
    </row>
    <row r="113" spans="2:21" s="8" customFormat="1" ht="18.75">
      <c r="B113" s="30"/>
      <c r="C113" s="26" t="s">
        <v>99</v>
      </c>
      <c r="D113" s="26" t="s">
        <v>100</v>
      </c>
      <c r="E113" s="26" t="s">
        <v>101</v>
      </c>
      <c r="F113" s="26" t="s">
        <v>102</v>
      </c>
      <c r="G113" s="30"/>
      <c r="H113" s="30"/>
      <c r="I113" s="30"/>
      <c r="J113" s="30"/>
      <c r="K113" s="30"/>
      <c r="L113" s="30"/>
      <c r="M113" s="30"/>
      <c r="N113" s="30"/>
      <c r="O113" s="30"/>
      <c r="P113" s="30"/>
      <c r="Q113" s="30"/>
      <c r="R113" s="30"/>
      <c r="S113" s="30"/>
      <c r="T113" s="30"/>
      <c r="U113" s="30"/>
    </row>
    <row r="114" spans="2:21">
      <c r="B114" s="22" t="s">
        <v>59</v>
      </c>
      <c r="C114" s="31">
        <v>0.36</v>
      </c>
      <c r="D114" s="31">
        <v>0.32</v>
      </c>
      <c r="E114" s="31">
        <v>0.35</v>
      </c>
      <c r="F114" s="31">
        <v>0.3</v>
      </c>
    </row>
    <row r="115" spans="2:21">
      <c r="B115" s="22" t="s">
        <v>97</v>
      </c>
      <c r="C115" s="31">
        <v>0.25</v>
      </c>
      <c r="D115" s="31">
        <v>0.33</v>
      </c>
      <c r="E115" s="31">
        <v>0.6</v>
      </c>
      <c r="F115" s="31">
        <v>0.56000000000000005</v>
      </c>
    </row>
    <row r="116" spans="2:21">
      <c r="B116" s="22" t="s">
        <v>98</v>
      </c>
      <c r="C116" s="31">
        <v>0.16</v>
      </c>
      <c r="D116" s="31">
        <v>0.15</v>
      </c>
      <c r="E116" s="31">
        <v>0.16</v>
      </c>
      <c r="F116" s="31">
        <v>0.15</v>
      </c>
    </row>
  </sheetData>
  <mergeCells count="6">
    <mergeCell ref="B112:U112"/>
    <mergeCell ref="B1:O1"/>
    <mergeCell ref="B3:K3"/>
    <mergeCell ref="B16:U16"/>
    <mergeCell ref="B65:U65"/>
    <mergeCell ref="B105:U105"/>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markers="1" xr2:uid="{00000000-0003-0000-0000-000000000000}">
          <x14:colorSeries rgb="FF323232"/>
          <x14:colorNegative rgb="FFD00000"/>
          <x14:colorAxis rgb="FF000000"/>
          <x14:colorMarkers rgb="FFD00000"/>
          <x14:colorFirst rgb="FFD00000"/>
          <x14:colorLast rgb="FFD00000"/>
          <x14:colorHigh rgb="FFD00000"/>
          <x14:colorLow rgb="FFD00000"/>
          <x14:sparklines>
            <x14:sparkline>
              <xm:f>'Data Patterns'!C20:L20</xm:f>
              <xm:sqref>M20</xm:sqref>
            </x14:sparkline>
            <x14:sparkline>
              <xm:f>'Data Patterns'!C21:L21</xm:f>
              <xm:sqref>M21</xm:sqref>
            </x14:sparkline>
            <x14:sparkline>
              <xm:f>'Data Patterns'!C22:L22</xm:f>
              <xm:sqref>M22</xm:sqref>
            </x14:sparkline>
            <x14:sparkline>
              <xm:f>'Data Patterns'!C23:L23</xm:f>
              <xm:sqref>M23</xm:sqref>
            </x14:sparkline>
            <x14:sparkline>
              <xm:f>'Data Patterns'!C24:L24</xm:f>
              <xm:sqref>M24</xm:sqref>
            </x14:sparkline>
            <x14:sparkline>
              <xm:f>'Data Patterns'!C25:L25</xm:f>
              <xm:sqref>M25</xm:sqref>
            </x14:sparkline>
            <x14:sparkline>
              <xm:f>'Data Patterns'!C26:L26</xm:f>
              <xm:sqref>M26</xm:sqref>
            </x14:sparkline>
            <x14:sparkline>
              <xm:f>'Data Patterns'!C27:L27</xm:f>
              <xm:sqref>M27</xm:sqref>
            </x14:sparkline>
            <x14:sparkline>
              <xm:f>'Data Patterns'!C28:L28</xm:f>
              <xm:sqref>M28</xm:sqref>
            </x14:sparkline>
            <x14:sparkline>
              <xm:f>'Data Patterns'!C29:L29</xm:f>
              <xm:sqref>M29</xm:sqref>
            </x14:sparkline>
            <x14:sparkline>
              <xm:f>'Data Patterns'!C30:L30</xm:f>
              <xm:sqref>M30</xm:sqref>
            </x14:sparkline>
            <x14:sparkline>
              <xm:f>'Data Patterns'!C31:L31</xm:f>
              <xm:sqref>M31</xm:sqref>
            </x14:sparkline>
            <x14:sparkline>
              <xm:f>'Data Patterns'!C32:L32</xm:f>
              <xm:sqref>M32</xm:sqref>
            </x14:sparkline>
            <x14:sparkline>
              <xm:f>'Data Patterns'!C33:L33</xm:f>
              <xm:sqref>M33</xm:sqref>
            </x14:sparkline>
          </x14:sparklines>
        </x14:sparklineGroup>
        <x14:sparklineGroup displayEmptyCellsAs="gap" markers="1" xr2:uid="{00000000-0003-0000-0000-000001000000}">
          <x14:colorSeries rgb="FF323232"/>
          <x14:colorNegative rgb="FFD00000"/>
          <x14:colorAxis rgb="FF000000"/>
          <x14:colorMarkers rgb="FFD00000"/>
          <x14:colorFirst rgb="FFD00000"/>
          <x14:colorLast rgb="FFD00000"/>
          <x14:colorHigh rgb="FFD00000"/>
          <x14:colorLow rgb="FFD00000"/>
          <x14:sparklines>
            <x14:sparkline>
              <xm:f>'Data Patterns'!D69:L69</xm:f>
              <xm:sqref>M69</xm:sqref>
            </x14:sparkline>
            <x14:sparkline>
              <xm:f>'Data Patterns'!D70:L70</xm:f>
              <xm:sqref>M70</xm:sqref>
            </x14:sparkline>
            <x14:sparkline>
              <xm:f>'Data Patterns'!D71:L71</xm:f>
              <xm:sqref>M71</xm:sqref>
            </x14:sparkline>
            <x14:sparkline>
              <xm:f>'Data Patterns'!D72:L72</xm:f>
              <xm:sqref>M72</xm:sqref>
            </x14:sparkline>
            <x14:sparkline>
              <xm:f>'Data Patterns'!D73:L73</xm:f>
              <xm:sqref>M73</xm:sqref>
            </x14:sparkline>
            <x14:sparkline>
              <xm:f>'Data Patterns'!D74:L74</xm:f>
              <xm:sqref>M74</xm:sqref>
            </x14:sparkline>
            <x14:sparkline>
              <xm:f>'Data Patterns'!D75:L75</xm:f>
              <xm:sqref>M75</xm:sqref>
            </x14:sparkline>
            <x14:sparkline>
              <xm:f>'Data Patterns'!D76:L76</xm:f>
              <xm:sqref>M76</xm:sqref>
            </x14:sparkline>
            <x14:sparkline>
              <xm:f>'Data Patterns'!D77:L77</xm:f>
              <xm:sqref>M77</xm:sqref>
            </x14:sparkline>
            <x14:sparkline>
              <xm:f>'Data Patterns'!D78:L78</xm:f>
              <xm:sqref>M78</xm:sqref>
            </x14:sparkline>
            <x14:sparkline>
              <xm:f>'Data Patterns'!D79:L79</xm:f>
              <xm:sqref>M79</xm:sqref>
            </x14:sparkline>
            <x14:sparkline>
              <xm:f>'Data Patterns'!D80:L80</xm:f>
              <xm:sqref>M80</xm:sqref>
            </x14:sparkline>
            <x14:sparkline>
              <xm:f>'Data Patterns'!D81:L81</xm:f>
              <xm:sqref>M81</xm:sqref>
            </x14:sparkline>
            <x14:sparkline>
              <xm:f>'Data Patterns'!D82:L82</xm:f>
              <xm:sqref>M82</xm:sqref>
            </x14:sparkline>
            <x14:sparkline>
              <xm:f>'Data Patterns'!D83:L83</xm:f>
              <xm:sqref>M83</xm:sqref>
            </x14:sparkline>
            <x14:sparkline>
              <xm:f>'Data Patterns'!D84:L84</xm:f>
              <xm:sqref>M84</xm:sqref>
            </x14:sparkline>
            <x14:sparkline>
              <xm:f>'Data Patterns'!D85:L85</xm:f>
              <xm:sqref>M85</xm:sqref>
            </x14:sparkline>
            <x14:sparkline>
              <xm:f>'Data Patterns'!D86:L86</xm:f>
              <xm:sqref>M86</xm:sqref>
            </x14:sparkline>
            <x14:sparkline>
              <xm:f>'Data Patterns'!D87:L87</xm:f>
              <xm:sqref>M87</xm:sqref>
            </x14:sparkline>
            <x14:sparkline>
              <xm:f>'Data Patterns'!D88:L88</xm:f>
              <xm:sqref>M88</xm:sqref>
            </x14:sparkline>
            <x14:sparkline>
              <xm:f>'Data Patterns'!D89:L89</xm:f>
              <xm:sqref>M89</xm:sqref>
            </x14:sparkline>
            <x14:sparkline>
              <xm:f>'Data Patterns'!D90:L90</xm:f>
              <xm:sqref>M90</xm:sqref>
            </x14:sparkline>
            <x14:sparkline>
              <xm:f>'Data Patterns'!D91:L91</xm:f>
              <xm:sqref>M91</xm:sqref>
            </x14:sparkline>
            <x14:sparkline>
              <xm:f>'Data Patterns'!D92:L92</xm:f>
              <xm:sqref>M92</xm:sqref>
            </x14:sparkline>
            <x14:sparkline>
              <xm:f>'Data Patterns'!D93:L93</xm:f>
              <xm:sqref>M93</xm:sqref>
            </x14:sparkline>
            <x14:sparkline>
              <xm:f>'Data Patterns'!D94:L94</xm:f>
              <xm:sqref>M94</xm:sqref>
            </x14:sparkline>
            <x14:sparkline>
              <xm:f>'Data Patterns'!D95:L95</xm:f>
              <xm:sqref>M95</xm:sqref>
            </x14:sparkline>
            <x14:sparkline>
              <xm:f>'Data Patterns'!D96:L96</xm:f>
              <xm:sqref>M96</xm:sqref>
            </x14:sparkline>
            <x14:sparkline>
              <xm:f>'Data Patterns'!D97:L97</xm:f>
              <xm:sqref>M97</xm:sqref>
            </x14:sparkline>
            <x14:sparkline>
              <xm:f>'Data Patterns'!D98:L98</xm:f>
              <xm:sqref>M98</xm:sqref>
            </x14:sparkline>
            <x14:sparkline>
              <xm:f>'Data Patterns'!D99:L99</xm:f>
              <xm:sqref>M99</xm:sqref>
            </x14:sparkline>
            <x14:sparkline>
              <xm:f>'Data Patterns'!D100:L100</xm:f>
              <xm:sqref>M100</xm:sqref>
            </x14:sparkline>
            <x14:sparkline>
              <xm:f>'Data Patterns'!D101:L101</xm:f>
              <xm:sqref>M101</xm:sqref>
            </x14:sparkline>
            <x14:sparkline>
              <xm:f>'Data Patterns'!D102:L102</xm:f>
              <xm:sqref>M102</xm:sqref>
            </x14:sparkline>
            <x14:sparkline>
              <xm:f>'Data Patterns'!D103:L103</xm:f>
              <xm:sqref>M103</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B0300-5F72-460B-BDC3-99AA7DF6CE52}">
  <dimension ref="A1:K47"/>
  <sheetViews>
    <sheetView workbookViewId="0">
      <selection activeCell="B49" sqref="B49"/>
    </sheetView>
  </sheetViews>
  <sheetFormatPr defaultRowHeight="15"/>
  <cols>
    <col min="1" max="1" width="28.140625" customWidth="1"/>
    <col min="2" max="2" width="36.140625" customWidth="1"/>
  </cols>
  <sheetData>
    <row r="1" spans="1:11" ht="15.75">
      <c r="A1" s="418" t="s">
        <v>103</v>
      </c>
      <c r="B1" s="416"/>
      <c r="C1" s="416"/>
      <c r="D1" s="416"/>
      <c r="E1" s="416"/>
      <c r="F1" s="416"/>
      <c r="G1" s="416"/>
      <c r="H1" s="416"/>
      <c r="I1" s="417"/>
      <c r="J1" s="33"/>
      <c r="K1" s="33"/>
    </row>
    <row r="3" spans="1:11">
      <c r="A3" s="419" t="s">
        <v>104</v>
      </c>
      <c r="B3" s="416"/>
      <c r="C3" s="416"/>
      <c r="D3" s="416"/>
      <c r="E3" s="416"/>
      <c r="F3" s="416"/>
      <c r="G3" s="416"/>
      <c r="H3" s="416"/>
      <c r="I3" s="417"/>
      <c r="J3" s="33"/>
      <c r="K3" s="33"/>
    </row>
    <row r="4" spans="1:11">
      <c r="A4" s="34" t="s">
        <v>3</v>
      </c>
      <c r="B4" s="415" t="s">
        <v>105</v>
      </c>
      <c r="C4" s="416"/>
      <c r="D4" s="417"/>
      <c r="E4" s="33"/>
      <c r="F4" s="33"/>
      <c r="G4" s="33"/>
      <c r="H4" s="33"/>
      <c r="I4" s="33"/>
      <c r="J4" s="33"/>
      <c r="K4" s="33"/>
    </row>
    <row r="5" spans="1:11">
      <c r="A5" s="34" t="s">
        <v>5</v>
      </c>
      <c r="B5" s="415" t="s">
        <v>106</v>
      </c>
      <c r="C5" s="416"/>
      <c r="D5" s="417"/>
      <c r="E5" s="33"/>
      <c r="F5" s="33"/>
      <c r="G5" s="33"/>
      <c r="H5" s="33"/>
      <c r="I5" s="33"/>
      <c r="J5" s="33"/>
      <c r="K5" s="33"/>
    </row>
    <row r="6" spans="1:11">
      <c r="A6" s="34" t="s">
        <v>107</v>
      </c>
      <c r="B6" s="33" t="s">
        <v>108</v>
      </c>
      <c r="C6" s="35"/>
      <c r="D6" s="36"/>
      <c r="E6" s="33"/>
      <c r="F6" s="33"/>
      <c r="G6" s="33"/>
      <c r="H6" s="33"/>
      <c r="I6" s="33"/>
      <c r="J6" s="33"/>
      <c r="K6" s="33"/>
    </row>
    <row r="7" spans="1:11">
      <c r="A7" s="34" t="s">
        <v>109</v>
      </c>
      <c r="B7" s="415" t="s">
        <v>110</v>
      </c>
      <c r="C7" s="416"/>
      <c r="D7" s="417"/>
      <c r="E7" s="33"/>
      <c r="F7" s="33"/>
      <c r="G7" s="33"/>
      <c r="H7" s="33"/>
      <c r="I7" s="33"/>
      <c r="J7" s="33"/>
      <c r="K7" s="33"/>
    </row>
    <row r="8" spans="1:11">
      <c r="A8" s="34" t="s">
        <v>11</v>
      </c>
      <c r="B8" s="415" t="s">
        <v>111</v>
      </c>
      <c r="C8" s="416"/>
      <c r="D8" s="417"/>
      <c r="E8" s="33"/>
      <c r="F8" s="33"/>
      <c r="G8" s="33"/>
      <c r="H8" s="33"/>
      <c r="I8" s="33"/>
      <c r="J8" s="33"/>
      <c r="K8" s="33"/>
    </row>
    <row r="9" spans="1:11">
      <c r="A9" s="34" t="s">
        <v>112</v>
      </c>
      <c r="B9" s="415" t="s">
        <v>113</v>
      </c>
      <c r="C9" s="416"/>
      <c r="D9" s="417"/>
      <c r="E9" s="33"/>
      <c r="F9" s="33"/>
      <c r="G9" s="33"/>
      <c r="H9" s="33"/>
      <c r="I9" s="33"/>
      <c r="J9" s="33"/>
      <c r="K9" s="33"/>
    </row>
    <row r="10" spans="1:11">
      <c r="A10" s="34" t="s">
        <v>13</v>
      </c>
      <c r="B10" s="420" t="s">
        <v>114</v>
      </c>
      <c r="C10" s="421"/>
      <c r="D10" s="421"/>
      <c r="E10" s="421"/>
      <c r="F10" s="421"/>
      <c r="G10" s="421"/>
      <c r="H10" s="421"/>
      <c r="I10" s="422"/>
      <c r="J10" s="33"/>
      <c r="K10" s="33"/>
    </row>
    <row r="11" spans="1:11">
      <c r="A11" s="33"/>
      <c r="B11" s="423"/>
      <c r="C11" s="424"/>
      <c r="D11" s="424"/>
      <c r="E11" s="424"/>
      <c r="F11" s="424"/>
      <c r="G11" s="424"/>
      <c r="H11" s="424"/>
      <c r="I11" s="425"/>
      <c r="J11" s="33"/>
      <c r="K11" s="33"/>
    </row>
    <row r="12" spans="1:11">
      <c r="A12" s="33"/>
      <c r="B12" s="426"/>
      <c r="C12" s="427"/>
      <c r="D12" s="427"/>
      <c r="E12" s="427"/>
      <c r="F12" s="427"/>
      <c r="G12" s="427"/>
      <c r="H12" s="427"/>
      <c r="I12" s="428"/>
      <c r="J12" s="33"/>
      <c r="K12" s="33"/>
    </row>
    <row r="13" spans="1:11">
      <c r="A13" s="419" t="s">
        <v>115</v>
      </c>
      <c r="B13" s="416"/>
      <c r="C13" s="416"/>
      <c r="D13" s="416"/>
      <c r="E13" s="416"/>
      <c r="F13" s="416"/>
      <c r="G13" s="416"/>
      <c r="H13" s="416"/>
      <c r="I13" s="417"/>
      <c r="J13" s="33"/>
      <c r="K13" s="33"/>
    </row>
    <row r="14" spans="1:11" ht="15.75">
      <c r="A14" s="33"/>
      <c r="B14" s="37"/>
      <c r="C14" s="38" t="s">
        <v>116</v>
      </c>
      <c r="D14" s="39" t="s">
        <v>117</v>
      </c>
      <c r="E14" s="39" t="s">
        <v>118</v>
      </c>
      <c r="F14" s="39" t="s">
        <v>119</v>
      </c>
      <c r="G14" s="39" t="s">
        <v>120</v>
      </c>
      <c r="H14" s="39" t="s">
        <v>121</v>
      </c>
      <c r="I14" s="39" t="s">
        <v>122</v>
      </c>
      <c r="J14" s="39" t="s">
        <v>123</v>
      </c>
      <c r="K14" s="39" t="s">
        <v>124</v>
      </c>
    </row>
    <row r="15" spans="1:11">
      <c r="A15" s="33"/>
      <c r="B15" s="40" t="s">
        <v>125</v>
      </c>
      <c r="C15" s="41">
        <v>246</v>
      </c>
      <c r="D15" s="42">
        <v>322</v>
      </c>
      <c r="E15" s="42">
        <v>573</v>
      </c>
      <c r="F15" s="42">
        <v>580</v>
      </c>
      <c r="G15" s="43">
        <v>676</v>
      </c>
      <c r="H15" s="49">
        <v>865.28</v>
      </c>
      <c r="I15" s="49">
        <v>1107.5583999999999</v>
      </c>
      <c r="J15" s="49">
        <v>1417.6747519999999</v>
      </c>
      <c r="K15" s="49">
        <v>1814.6236825599999</v>
      </c>
    </row>
    <row r="16" spans="1:11">
      <c r="A16" s="33"/>
      <c r="B16" s="40" t="s">
        <v>126</v>
      </c>
      <c r="C16" s="41">
        <v>46</v>
      </c>
      <c r="D16" s="42">
        <v>61</v>
      </c>
      <c r="E16" s="42">
        <v>104</v>
      </c>
      <c r="F16" s="42">
        <v>56</v>
      </c>
      <c r="G16" s="43">
        <v>54</v>
      </c>
      <c r="H16" s="42">
        <v>68.58</v>
      </c>
      <c r="I16" s="42">
        <v>87.096599999999995</v>
      </c>
      <c r="J16" s="42">
        <v>110.61268199999999</v>
      </c>
      <c r="K16" s="42">
        <v>140.47810613999999</v>
      </c>
    </row>
    <row r="17" spans="1:11">
      <c r="A17" s="33"/>
      <c r="B17" s="40" t="s">
        <v>127</v>
      </c>
      <c r="C17" s="41">
        <v>83</v>
      </c>
      <c r="D17" s="42">
        <v>94</v>
      </c>
      <c r="E17" s="42">
        <v>154</v>
      </c>
      <c r="F17" s="42">
        <v>112</v>
      </c>
      <c r="G17" s="42">
        <v>121</v>
      </c>
      <c r="H17" s="42">
        <v>129.71200000000002</v>
      </c>
      <c r="I17" s="42">
        <v>139.05126400000003</v>
      </c>
      <c r="J17" s="42">
        <v>149.06295500800005</v>
      </c>
      <c r="K17" s="42">
        <v>159.79548776857607</v>
      </c>
    </row>
    <row r="18" spans="1:11">
      <c r="A18" s="33"/>
      <c r="B18" s="40" t="s">
        <v>128</v>
      </c>
      <c r="C18" s="45">
        <v>14.98</v>
      </c>
      <c r="D18" s="44">
        <v>19.79</v>
      </c>
      <c r="E18" s="44">
        <v>33.840000000000003</v>
      </c>
      <c r="F18" s="44">
        <v>18.29</v>
      </c>
      <c r="G18" s="44">
        <v>17.510000000000002</v>
      </c>
      <c r="H18" s="48">
        <v>17.807670000000002</v>
      </c>
      <c r="I18" s="48">
        <v>18.110400389999999</v>
      </c>
      <c r="J18" s="48">
        <v>18.418277196629997</v>
      </c>
      <c r="K18" s="48">
        <v>18.731387908972707</v>
      </c>
    </row>
    <row r="19" spans="1:11">
      <c r="A19" s="33"/>
      <c r="B19" s="40" t="s">
        <v>129</v>
      </c>
      <c r="C19" s="45">
        <v>6</v>
      </c>
      <c r="D19" s="44">
        <v>3</v>
      </c>
      <c r="E19" s="44">
        <v>0</v>
      </c>
      <c r="F19" s="44">
        <v>0</v>
      </c>
      <c r="G19" s="44">
        <v>0</v>
      </c>
      <c r="H19" s="50" t="s">
        <v>130</v>
      </c>
      <c r="I19" s="50" t="s">
        <v>130</v>
      </c>
      <c r="J19" s="50" t="s">
        <v>130</v>
      </c>
      <c r="K19" s="50" t="s">
        <v>130</v>
      </c>
    </row>
    <row r="21" spans="1:11">
      <c r="A21" s="419" t="s">
        <v>131</v>
      </c>
      <c r="B21" s="416"/>
      <c r="C21" s="416"/>
      <c r="D21" s="416"/>
      <c r="E21" s="416"/>
      <c r="F21" s="416"/>
      <c r="G21" s="416"/>
      <c r="H21" s="416"/>
      <c r="I21" s="417"/>
      <c r="J21" s="33"/>
      <c r="K21" s="33"/>
    </row>
    <row r="22" spans="1:11">
      <c r="A22" s="33"/>
      <c r="B22" s="34" t="s">
        <v>132</v>
      </c>
      <c r="C22" s="46">
        <v>9.6600000000000005E-2</v>
      </c>
      <c r="D22" s="46">
        <v>0.1171</v>
      </c>
      <c r="E22" s="46">
        <v>0.1676</v>
      </c>
      <c r="F22" s="46">
        <v>8.3000000000000004E-2</v>
      </c>
      <c r="G22" s="46">
        <v>7.3599999999999999E-2</v>
      </c>
      <c r="H22" s="33"/>
      <c r="I22" s="33"/>
      <c r="J22" s="33"/>
      <c r="K22" s="33"/>
    </row>
    <row r="23" spans="1:11">
      <c r="A23" s="33"/>
      <c r="B23" s="34" t="s">
        <v>92</v>
      </c>
      <c r="C23" s="47">
        <v>60.22</v>
      </c>
      <c r="D23" s="47">
        <v>88.62</v>
      </c>
      <c r="E23" s="47">
        <v>47.04</v>
      </c>
      <c r="F23" s="47">
        <v>92.31</v>
      </c>
      <c r="G23" s="47">
        <v>74.53</v>
      </c>
      <c r="H23" s="33"/>
      <c r="I23" s="33"/>
      <c r="J23" s="33"/>
      <c r="K23" s="33"/>
    </row>
    <row r="24" spans="1:11">
      <c r="A24" s="33"/>
      <c r="B24" s="34" t="s">
        <v>93</v>
      </c>
      <c r="C24" s="47">
        <v>6.61</v>
      </c>
      <c r="D24" s="47">
        <v>10.35</v>
      </c>
      <c r="E24" s="47">
        <v>7.83</v>
      </c>
      <c r="F24" s="47">
        <v>7.65</v>
      </c>
      <c r="G24" s="47">
        <v>5.39</v>
      </c>
      <c r="H24" s="33"/>
      <c r="I24" s="33"/>
      <c r="J24" s="33"/>
      <c r="K24" s="33"/>
    </row>
    <row r="25" spans="1:11">
      <c r="A25" s="33"/>
      <c r="B25" s="34" t="s">
        <v>95</v>
      </c>
      <c r="C25" s="47">
        <v>35.19</v>
      </c>
      <c r="D25" s="47">
        <v>52.4</v>
      </c>
      <c r="E25" s="47">
        <v>28.65</v>
      </c>
      <c r="F25" s="47">
        <v>45.06</v>
      </c>
      <c r="G25" s="47">
        <v>32.44</v>
      </c>
      <c r="H25" s="33"/>
      <c r="I25" s="33"/>
      <c r="J25" s="33"/>
      <c r="K25" s="33"/>
    </row>
    <row r="26" spans="1:11">
      <c r="A26" s="33"/>
      <c r="B26" s="34" t="s">
        <v>133</v>
      </c>
      <c r="C26" s="46">
        <v>5.8999999999999999E-3</v>
      </c>
      <c r="D26" s="46">
        <v>1.6999999999999999E-3</v>
      </c>
      <c r="E26" s="46">
        <v>0</v>
      </c>
      <c r="F26" s="46">
        <v>0</v>
      </c>
      <c r="G26" s="46">
        <v>0</v>
      </c>
      <c r="H26" s="33"/>
      <c r="I26" s="33"/>
      <c r="J26" s="33"/>
      <c r="K26" s="33"/>
    </row>
    <row r="27" spans="1:11">
      <c r="A27" s="33"/>
      <c r="B27" s="34" t="s">
        <v>134</v>
      </c>
      <c r="C27" s="47">
        <v>0.03</v>
      </c>
      <c r="D27" s="47">
        <v>0.18</v>
      </c>
      <c r="E27" s="47">
        <v>0.23</v>
      </c>
      <c r="F27" s="47">
        <v>0.28000000000000003</v>
      </c>
      <c r="G27" s="47">
        <v>0.24</v>
      </c>
      <c r="H27" s="33"/>
      <c r="I27" s="33"/>
      <c r="J27" s="33"/>
      <c r="K27" s="33"/>
    </row>
    <row r="29" spans="1:11">
      <c r="A29" s="429" t="s">
        <v>65</v>
      </c>
      <c r="B29" s="430"/>
      <c r="C29" s="430"/>
      <c r="D29" s="430"/>
      <c r="E29" s="430"/>
      <c r="F29" s="430"/>
      <c r="G29" s="430"/>
      <c r="H29" s="430"/>
      <c r="I29" s="430"/>
      <c r="J29" s="33"/>
      <c r="K29" s="33"/>
    </row>
    <row r="30" spans="1:11">
      <c r="A30" s="33"/>
      <c r="B30" s="34" t="s">
        <v>135</v>
      </c>
      <c r="C30" s="47">
        <v>34.24</v>
      </c>
      <c r="D30" s="47">
        <v>32.04</v>
      </c>
      <c r="E30" s="47">
        <v>30.28</v>
      </c>
      <c r="F30" s="47">
        <v>20.34</v>
      </c>
      <c r="G30" s="47">
        <v>18.690000000000001</v>
      </c>
      <c r="H30" s="33"/>
      <c r="I30" s="33"/>
      <c r="J30" s="33"/>
      <c r="K30" s="33"/>
    </row>
    <row r="31" spans="1:11">
      <c r="A31" s="33"/>
      <c r="B31" s="34" t="s">
        <v>136</v>
      </c>
      <c r="C31" s="47">
        <v>29.15</v>
      </c>
      <c r="D31" s="47">
        <v>27.6</v>
      </c>
      <c r="E31" s="47">
        <v>27.1</v>
      </c>
      <c r="F31" s="47">
        <v>16.440000000000001</v>
      </c>
      <c r="G31" s="47">
        <v>13.99</v>
      </c>
      <c r="H31" s="33"/>
      <c r="I31" s="33"/>
      <c r="J31" s="33"/>
      <c r="K31" s="33"/>
    </row>
    <row r="32" spans="1:11">
      <c r="A32" s="33"/>
      <c r="B32" s="34" t="s">
        <v>137</v>
      </c>
      <c r="C32" s="47">
        <v>26.31</v>
      </c>
      <c r="D32" s="47">
        <v>25.53</v>
      </c>
      <c r="E32" s="47">
        <v>24.57</v>
      </c>
      <c r="F32" s="47">
        <v>12.62</v>
      </c>
      <c r="G32" s="47">
        <v>10.71</v>
      </c>
      <c r="H32" s="33"/>
      <c r="I32" s="33"/>
      <c r="J32" s="33"/>
      <c r="K32" s="33"/>
    </row>
    <row r="33" spans="1:9">
      <c r="A33" s="33"/>
      <c r="B33" s="34" t="s">
        <v>138</v>
      </c>
      <c r="C33" s="47">
        <v>18.7</v>
      </c>
      <c r="D33" s="47">
        <v>18.899999999999999</v>
      </c>
      <c r="E33" s="47">
        <v>18.149999999999999</v>
      </c>
      <c r="F33" s="47">
        <v>9.6999999999999993</v>
      </c>
      <c r="G33" s="47">
        <v>7.96</v>
      </c>
      <c r="H33" s="33"/>
      <c r="I33" s="33"/>
    </row>
    <row r="34" spans="1:9">
      <c r="A34" s="33"/>
      <c r="B34" s="34" t="s">
        <v>139</v>
      </c>
      <c r="C34" s="45">
        <v>9.66</v>
      </c>
      <c r="D34" s="44">
        <v>11.71</v>
      </c>
      <c r="E34" s="44">
        <v>16.760000000000002</v>
      </c>
      <c r="F34" s="44">
        <v>8.3000000000000007</v>
      </c>
      <c r="G34" s="44">
        <v>7.36</v>
      </c>
      <c r="H34" s="33"/>
      <c r="I34" s="33"/>
    </row>
    <row r="35" spans="1:9">
      <c r="A35" s="33"/>
      <c r="B35" s="34" t="s">
        <v>140</v>
      </c>
      <c r="C35" s="45">
        <v>14.45</v>
      </c>
      <c r="D35" s="44">
        <v>15.8</v>
      </c>
      <c r="E35" s="44">
        <v>21.51</v>
      </c>
      <c r="F35" s="44">
        <v>11.91</v>
      </c>
      <c r="G35" s="44">
        <v>11.24</v>
      </c>
      <c r="H35" s="33"/>
      <c r="I35" s="33"/>
    </row>
    <row r="36" spans="1:9">
      <c r="A36" s="429"/>
      <c r="B36" s="430"/>
      <c r="C36" s="430"/>
      <c r="D36" s="430"/>
      <c r="E36" s="430"/>
      <c r="F36" s="430"/>
      <c r="G36" s="430"/>
      <c r="H36" s="430"/>
      <c r="I36" s="430"/>
    </row>
    <row r="39" spans="1:9">
      <c r="A39" s="419" t="s">
        <v>141</v>
      </c>
      <c r="B39" s="416"/>
      <c r="C39" s="416"/>
      <c r="D39" s="416"/>
      <c r="E39" s="416"/>
      <c r="F39" s="416"/>
      <c r="G39" s="416"/>
      <c r="H39" s="416"/>
      <c r="I39" s="417"/>
    </row>
    <row r="40" spans="1:9">
      <c r="A40" s="33"/>
      <c r="B40" s="34" t="s">
        <v>142</v>
      </c>
      <c r="C40" s="47">
        <v>4</v>
      </c>
      <c r="D40" s="33"/>
      <c r="E40" s="33"/>
      <c r="F40" s="33"/>
      <c r="G40" s="33"/>
      <c r="H40" s="33"/>
      <c r="I40" s="33"/>
    </row>
    <row r="41" spans="1:9">
      <c r="A41" s="33"/>
      <c r="B41" s="34" t="s">
        <v>143</v>
      </c>
      <c r="C41" s="47">
        <v>4</v>
      </c>
      <c r="D41" s="33"/>
      <c r="E41" s="33"/>
      <c r="F41" s="33"/>
      <c r="G41" s="33"/>
      <c r="H41" s="33"/>
      <c r="I41" s="33"/>
    </row>
    <row r="42" spans="1:9">
      <c r="A42" s="33"/>
      <c r="B42" s="34" t="s">
        <v>144</v>
      </c>
      <c r="C42" s="47">
        <v>4</v>
      </c>
      <c r="D42" s="33"/>
      <c r="E42" s="33"/>
      <c r="F42" s="33"/>
      <c r="G42" s="33"/>
      <c r="H42" s="33"/>
      <c r="I42" s="33"/>
    </row>
    <row r="43" spans="1:9">
      <c r="A43" s="33"/>
      <c r="B43" s="34" t="s">
        <v>145</v>
      </c>
      <c r="C43" s="47">
        <v>4</v>
      </c>
      <c r="D43" s="33"/>
      <c r="E43" s="33"/>
      <c r="F43" s="33"/>
      <c r="G43" s="33"/>
      <c r="H43" s="33"/>
      <c r="I43" s="33"/>
    </row>
    <row r="46" spans="1:9">
      <c r="A46" s="419" t="s">
        <v>146</v>
      </c>
      <c r="B46" s="416"/>
      <c r="C46" s="416"/>
      <c r="D46" s="416"/>
      <c r="E46" s="416"/>
      <c r="F46" s="416"/>
      <c r="G46" s="416"/>
      <c r="H46" s="416"/>
      <c r="I46" s="417"/>
    </row>
    <row r="47" spans="1:9" ht="150">
      <c r="A47" s="1" t="s">
        <v>147</v>
      </c>
      <c r="B47" s="33"/>
      <c r="C47" s="33"/>
      <c r="D47" s="33"/>
      <c r="E47" s="33"/>
      <c r="F47" s="33"/>
      <c r="G47" s="33"/>
      <c r="H47" s="33"/>
      <c r="I47" s="33"/>
    </row>
  </sheetData>
  <mergeCells count="14">
    <mergeCell ref="A39:I39"/>
    <mergeCell ref="A46:I46"/>
    <mergeCell ref="B9:D9"/>
    <mergeCell ref="B10:I12"/>
    <mergeCell ref="A13:I13"/>
    <mergeCell ref="A21:I21"/>
    <mergeCell ref="A29:I29"/>
    <mergeCell ref="A36:I36"/>
    <mergeCell ref="B8:D8"/>
    <mergeCell ref="A1:I1"/>
    <mergeCell ref="A3:I3"/>
    <mergeCell ref="B4:D4"/>
    <mergeCell ref="B5:D5"/>
    <mergeCell ref="B7:D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96898-C654-4653-AC28-E91670DDF76A}">
  <dimension ref="A1:L52"/>
  <sheetViews>
    <sheetView workbookViewId="0">
      <selection activeCell="F51" sqref="F51"/>
    </sheetView>
  </sheetViews>
  <sheetFormatPr defaultRowHeight="15"/>
  <cols>
    <col min="1" max="1" width="31.140625" customWidth="1"/>
    <col min="2" max="2" width="14.85546875" customWidth="1"/>
  </cols>
  <sheetData>
    <row r="1" spans="1:12" ht="15.75">
      <c r="A1" s="431" t="s">
        <v>103</v>
      </c>
      <c r="B1" s="432"/>
      <c r="C1" s="432"/>
      <c r="D1" s="432"/>
      <c r="E1" s="432"/>
      <c r="F1" s="432"/>
      <c r="G1" s="432"/>
      <c r="H1" s="432"/>
      <c r="I1" s="433"/>
      <c r="J1" s="52"/>
      <c r="K1" s="52"/>
      <c r="L1" s="52"/>
    </row>
    <row r="2" spans="1:12">
      <c r="A2" s="52"/>
      <c r="B2" s="52"/>
      <c r="C2" s="52"/>
      <c r="D2" s="52"/>
      <c r="E2" s="52"/>
      <c r="F2" s="52"/>
      <c r="G2" s="52"/>
      <c r="H2" s="52"/>
      <c r="I2" s="52"/>
      <c r="J2" s="52"/>
      <c r="K2" s="52"/>
      <c r="L2" s="52"/>
    </row>
    <row r="3" spans="1:12">
      <c r="A3" s="434" t="s">
        <v>104</v>
      </c>
      <c r="B3" s="432"/>
      <c r="C3" s="432"/>
      <c r="D3" s="432"/>
      <c r="E3" s="432"/>
      <c r="F3" s="432"/>
      <c r="G3" s="432"/>
      <c r="H3" s="432"/>
      <c r="I3" s="433"/>
      <c r="J3" s="52"/>
      <c r="K3" s="52"/>
      <c r="L3" s="52"/>
    </row>
    <row r="4" spans="1:12">
      <c r="A4" s="53" t="s">
        <v>3</v>
      </c>
      <c r="B4" s="56" t="s">
        <v>148</v>
      </c>
      <c r="C4" s="54"/>
      <c r="D4" s="55"/>
      <c r="E4" s="52"/>
      <c r="F4" s="52"/>
      <c r="G4" s="52"/>
      <c r="H4" s="52"/>
      <c r="I4" s="52"/>
      <c r="J4" s="52"/>
      <c r="K4" s="52"/>
      <c r="L4" s="52"/>
    </row>
    <row r="5" spans="1:12">
      <c r="A5" s="53" t="s">
        <v>5</v>
      </c>
      <c r="B5" s="435" t="s">
        <v>149</v>
      </c>
      <c r="C5" s="436"/>
      <c r="D5" s="437"/>
      <c r="E5" s="52"/>
      <c r="F5" s="52"/>
      <c r="G5" s="52"/>
      <c r="H5" s="52"/>
      <c r="I5" s="52"/>
      <c r="J5" s="52"/>
      <c r="K5" s="52"/>
      <c r="L5" s="52"/>
    </row>
    <row r="6" spans="1:12">
      <c r="A6" s="53" t="s">
        <v>107</v>
      </c>
      <c r="B6" s="456" t="s">
        <v>150</v>
      </c>
      <c r="C6" s="457"/>
      <c r="D6" s="458"/>
      <c r="E6" s="52"/>
      <c r="F6" s="52"/>
      <c r="G6" s="52"/>
      <c r="H6" s="52"/>
      <c r="I6" s="52"/>
      <c r="J6" s="52"/>
      <c r="K6" s="52"/>
      <c r="L6" s="52"/>
    </row>
    <row r="7" spans="1:12">
      <c r="A7" s="53" t="s">
        <v>109</v>
      </c>
      <c r="B7" s="56" t="s">
        <v>151</v>
      </c>
      <c r="C7" s="54"/>
      <c r="D7" s="55"/>
      <c r="E7" s="52"/>
      <c r="F7" s="52"/>
      <c r="G7" s="52"/>
      <c r="H7" s="52"/>
      <c r="I7" s="52"/>
      <c r="J7" s="52"/>
      <c r="K7" s="52"/>
      <c r="L7" s="52"/>
    </row>
    <row r="8" spans="1:12">
      <c r="A8" s="53" t="s">
        <v>11</v>
      </c>
      <c r="B8" s="56" t="s">
        <v>152</v>
      </c>
      <c r="C8" s="54"/>
      <c r="D8" s="55"/>
      <c r="E8" s="52"/>
      <c r="F8" s="52"/>
      <c r="G8" s="52"/>
      <c r="H8" s="52"/>
      <c r="I8" s="52"/>
      <c r="J8" s="52"/>
      <c r="K8" s="52"/>
      <c r="L8" s="52"/>
    </row>
    <row r="9" spans="1:12">
      <c r="A9" s="53" t="s">
        <v>112</v>
      </c>
      <c r="B9" s="456" t="s">
        <v>153</v>
      </c>
      <c r="C9" s="457"/>
      <c r="D9" s="458"/>
      <c r="E9" s="52"/>
      <c r="F9" s="52"/>
      <c r="G9" s="52"/>
      <c r="H9" s="52"/>
      <c r="I9" s="52"/>
      <c r="J9" s="52"/>
      <c r="K9" s="52"/>
      <c r="L9" s="52"/>
    </row>
    <row r="10" spans="1:12">
      <c r="A10" s="53" t="s">
        <v>13</v>
      </c>
      <c r="B10" s="447" t="s">
        <v>154</v>
      </c>
      <c r="C10" s="448"/>
      <c r="D10" s="448"/>
      <c r="E10" s="448"/>
      <c r="F10" s="448"/>
      <c r="G10" s="448"/>
      <c r="H10" s="448"/>
      <c r="I10" s="449"/>
      <c r="J10" s="52"/>
      <c r="K10" s="52"/>
      <c r="L10" s="52"/>
    </row>
    <row r="11" spans="1:12">
      <c r="A11" s="52"/>
      <c r="B11" s="450"/>
      <c r="C11" s="451"/>
      <c r="D11" s="451"/>
      <c r="E11" s="451"/>
      <c r="F11" s="451"/>
      <c r="G11" s="451"/>
      <c r="H11" s="451"/>
      <c r="I11" s="452"/>
      <c r="J11" s="52"/>
      <c r="K11" s="52"/>
      <c r="L11" s="52"/>
    </row>
    <row r="12" spans="1:12">
      <c r="A12" s="52"/>
      <c r="B12" s="453"/>
      <c r="C12" s="454"/>
      <c r="D12" s="454"/>
      <c r="E12" s="454"/>
      <c r="F12" s="454"/>
      <c r="G12" s="454"/>
      <c r="H12" s="454"/>
      <c r="I12" s="455"/>
      <c r="J12" s="52"/>
      <c r="K12" s="52"/>
      <c r="L12" s="52"/>
    </row>
    <row r="13" spans="1:12">
      <c r="A13" s="439" t="s">
        <v>115</v>
      </c>
      <c r="B13" s="440"/>
      <c r="C13" s="440"/>
      <c r="D13" s="440"/>
      <c r="E13" s="440"/>
      <c r="F13" s="440"/>
      <c r="G13" s="440"/>
      <c r="H13" s="440"/>
      <c r="I13" s="441"/>
      <c r="J13" s="52"/>
      <c r="K13" s="52"/>
      <c r="L13" s="52"/>
    </row>
    <row r="14" spans="1:12">
      <c r="A14" s="57" t="s">
        <v>155</v>
      </c>
      <c r="B14" s="57" t="s">
        <v>116</v>
      </c>
      <c r="C14" s="57" t="s">
        <v>117</v>
      </c>
      <c r="D14" s="57" t="s">
        <v>118</v>
      </c>
      <c r="E14" s="57" t="s">
        <v>119</v>
      </c>
      <c r="F14" s="57" t="s">
        <v>120</v>
      </c>
      <c r="G14" s="57" t="s">
        <v>121</v>
      </c>
      <c r="H14" s="57" t="s">
        <v>122</v>
      </c>
      <c r="I14" s="57" t="s">
        <v>123</v>
      </c>
      <c r="J14" s="57" t="s">
        <v>124</v>
      </c>
      <c r="K14" s="57" t="s">
        <v>156</v>
      </c>
      <c r="L14" s="52"/>
    </row>
    <row r="15" spans="1:12">
      <c r="A15" s="58" t="s">
        <v>157</v>
      </c>
      <c r="B15" s="59">
        <v>13821</v>
      </c>
      <c r="C15" s="59">
        <v>15044</v>
      </c>
      <c r="D15" s="59">
        <v>17333</v>
      </c>
      <c r="E15" s="59">
        <v>19820</v>
      </c>
      <c r="F15" s="59">
        <v>23769</v>
      </c>
      <c r="G15" s="59">
        <v>27809</v>
      </c>
      <c r="H15" s="59">
        <v>32518</v>
      </c>
      <c r="I15" s="59">
        <v>38033</v>
      </c>
      <c r="J15" s="59">
        <v>44493</v>
      </c>
      <c r="K15" s="59">
        <v>52068</v>
      </c>
      <c r="L15" s="52"/>
    </row>
    <row r="16" spans="1:12">
      <c r="A16" s="58" t="s">
        <v>29</v>
      </c>
      <c r="B16" s="59">
        <v>1886</v>
      </c>
      <c r="C16" s="59">
        <v>1824</v>
      </c>
      <c r="D16" s="59">
        <v>2099</v>
      </c>
      <c r="E16" s="59">
        <v>2399</v>
      </c>
      <c r="F16" s="59">
        <v>5323</v>
      </c>
      <c r="G16" s="59">
        <v>6188</v>
      </c>
      <c r="H16" s="60" t="s">
        <v>158</v>
      </c>
      <c r="I16" s="59">
        <v>8467</v>
      </c>
      <c r="J16" s="59">
        <v>9892</v>
      </c>
      <c r="K16" s="59">
        <v>11551</v>
      </c>
      <c r="L16" s="52"/>
    </row>
    <row r="17" spans="1:12">
      <c r="A17" s="58" t="s">
        <v>23</v>
      </c>
      <c r="B17" s="59">
        <v>6089</v>
      </c>
      <c r="C17" s="59">
        <v>6088</v>
      </c>
      <c r="D17" s="59">
        <v>6500</v>
      </c>
      <c r="E17" s="59">
        <v>7100</v>
      </c>
      <c r="F17" s="59">
        <v>7808</v>
      </c>
      <c r="G17" s="60" t="s">
        <v>159</v>
      </c>
      <c r="H17" s="59">
        <v>10694</v>
      </c>
      <c r="I17" s="60" t="s">
        <v>160</v>
      </c>
      <c r="J17" s="60" t="s">
        <v>161</v>
      </c>
      <c r="K17" s="60" t="s">
        <v>162</v>
      </c>
      <c r="L17" s="52"/>
    </row>
    <row r="18" spans="1:12">
      <c r="A18" s="58" t="s">
        <v>128</v>
      </c>
      <c r="B18" s="60">
        <v>2.87</v>
      </c>
      <c r="C18" s="60">
        <v>3.28</v>
      </c>
      <c r="D18" s="60">
        <v>4.08</v>
      </c>
      <c r="E18" s="60">
        <v>5.45</v>
      </c>
      <c r="F18" s="60">
        <v>7.28</v>
      </c>
      <c r="G18" s="60">
        <v>8.51</v>
      </c>
      <c r="H18" s="60">
        <v>9.9499999999999993</v>
      </c>
      <c r="I18" s="60">
        <v>11.62</v>
      </c>
      <c r="J18" s="60">
        <v>13.58</v>
      </c>
      <c r="K18" s="60">
        <v>15.87</v>
      </c>
      <c r="L18" s="52"/>
    </row>
    <row r="19" spans="1:12" ht="90">
      <c r="A19" s="58" t="s">
        <v>163</v>
      </c>
      <c r="B19" s="60">
        <v>1.33</v>
      </c>
      <c r="C19" s="60">
        <v>1.5</v>
      </c>
      <c r="D19" s="60">
        <v>1.8</v>
      </c>
      <c r="E19" s="60">
        <v>2.2000000000000002</v>
      </c>
      <c r="F19" s="60" t="s">
        <v>164</v>
      </c>
      <c r="G19" s="60" t="s">
        <v>165</v>
      </c>
      <c r="H19" s="60" t="s">
        <v>165</v>
      </c>
      <c r="I19" s="60" t="s">
        <v>165</v>
      </c>
      <c r="J19" s="60" t="s">
        <v>165</v>
      </c>
      <c r="K19" s="60" t="s">
        <v>165</v>
      </c>
      <c r="L19" s="52"/>
    </row>
    <row r="20" spans="1:12">
      <c r="A20" s="61"/>
      <c r="B20" s="61"/>
      <c r="C20" s="61"/>
      <c r="D20" s="61"/>
      <c r="E20" s="61"/>
      <c r="F20" s="61"/>
      <c r="G20" s="61"/>
      <c r="H20" s="61"/>
      <c r="I20" s="61"/>
      <c r="J20" s="61"/>
      <c r="K20" s="61"/>
      <c r="L20" s="52"/>
    </row>
    <row r="21" spans="1:12">
      <c r="A21" s="442" t="s">
        <v>131</v>
      </c>
      <c r="B21" s="443"/>
      <c r="C21" s="443"/>
      <c r="D21" s="443"/>
      <c r="E21" s="443"/>
      <c r="F21" s="443"/>
      <c r="G21" s="443"/>
      <c r="H21" s="444"/>
      <c r="I21" s="445"/>
      <c r="J21" s="52"/>
      <c r="K21" s="52"/>
      <c r="L21" s="52"/>
    </row>
    <row r="22" spans="1:12">
      <c r="A22" s="52"/>
      <c r="B22" s="57" t="s">
        <v>166</v>
      </c>
      <c r="C22" s="57" t="s">
        <v>167</v>
      </c>
      <c r="D22" s="57" t="s">
        <v>168</v>
      </c>
      <c r="E22" s="57" t="s">
        <v>169</v>
      </c>
      <c r="F22" s="57" t="s">
        <v>170</v>
      </c>
      <c r="G22" s="57" t="s">
        <v>171</v>
      </c>
      <c r="H22" s="52"/>
      <c r="I22" s="52"/>
      <c r="J22" s="52"/>
      <c r="K22" s="52"/>
      <c r="L22" s="52"/>
    </row>
    <row r="23" spans="1:12">
      <c r="A23" s="52"/>
      <c r="B23" s="58" t="s">
        <v>132</v>
      </c>
      <c r="C23" s="60" t="s">
        <v>172</v>
      </c>
      <c r="D23" s="60" t="s">
        <v>173</v>
      </c>
      <c r="E23" s="60" t="s">
        <v>174</v>
      </c>
      <c r="F23" s="60" t="s">
        <v>175</v>
      </c>
      <c r="G23" s="60" t="s">
        <v>176</v>
      </c>
      <c r="H23" s="52"/>
      <c r="I23" s="52"/>
      <c r="J23" s="52"/>
      <c r="K23" s="52"/>
      <c r="L23" s="52"/>
    </row>
    <row r="24" spans="1:12">
      <c r="A24" s="52"/>
      <c r="B24" s="58" t="s">
        <v>177</v>
      </c>
      <c r="C24" s="60" t="s">
        <v>178</v>
      </c>
      <c r="D24" s="60" t="s">
        <v>179</v>
      </c>
      <c r="E24" s="60" t="s">
        <v>180</v>
      </c>
      <c r="F24" s="60" t="s">
        <v>181</v>
      </c>
      <c r="G24" s="60" t="s">
        <v>182</v>
      </c>
      <c r="H24" s="52"/>
      <c r="I24" s="52"/>
      <c r="J24" s="52"/>
      <c r="K24" s="52"/>
      <c r="L24" s="52"/>
    </row>
    <row r="25" spans="1:12">
      <c r="A25" s="52"/>
      <c r="B25" s="58" t="s">
        <v>183</v>
      </c>
      <c r="C25" s="60" t="s">
        <v>184</v>
      </c>
      <c r="D25" s="60" t="s">
        <v>185</v>
      </c>
      <c r="E25" s="60" t="s">
        <v>186</v>
      </c>
      <c r="F25" s="60" t="s">
        <v>187</v>
      </c>
      <c r="G25" s="60" t="s">
        <v>188</v>
      </c>
      <c r="H25" s="52"/>
      <c r="I25" s="52"/>
      <c r="J25" s="52"/>
      <c r="K25" s="52"/>
      <c r="L25" s="52"/>
    </row>
    <row r="26" spans="1:12">
      <c r="A26" s="52"/>
      <c r="B26" s="58" t="s">
        <v>189</v>
      </c>
      <c r="C26" s="60" t="s">
        <v>190</v>
      </c>
      <c r="D26" s="60" t="s">
        <v>191</v>
      </c>
      <c r="E26" s="60" t="s">
        <v>192</v>
      </c>
      <c r="F26" s="60" t="s">
        <v>193</v>
      </c>
      <c r="G26" s="60" t="s">
        <v>194</v>
      </c>
      <c r="H26" s="52"/>
      <c r="I26" s="52"/>
      <c r="J26" s="52"/>
      <c r="K26" s="52"/>
      <c r="L26" s="52"/>
    </row>
    <row r="27" spans="1:12">
      <c r="A27" s="52"/>
      <c r="B27" s="58" t="s">
        <v>195</v>
      </c>
      <c r="C27" s="60" t="s">
        <v>196</v>
      </c>
      <c r="D27" s="60" t="s">
        <v>197</v>
      </c>
      <c r="E27" s="60" t="s">
        <v>198</v>
      </c>
      <c r="F27" s="60" t="s">
        <v>199</v>
      </c>
      <c r="G27" s="60" t="s">
        <v>200</v>
      </c>
      <c r="H27" s="52"/>
      <c r="I27" s="52"/>
      <c r="J27" s="52"/>
      <c r="K27" s="52"/>
      <c r="L27" s="52"/>
    </row>
    <row r="28" spans="1:12" ht="30">
      <c r="A28" s="52"/>
      <c r="B28" s="58" t="s">
        <v>134</v>
      </c>
      <c r="C28" s="60">
        <v>0</v>
      </c>
      <c r="D28" s="60">
        <v>0</v>
      </c>
      <c r="E28" s="60">
        <v>0</v>
      </c>
      <c r="F28" s="60">
        <v>0</v>
      </c>
      <c r="G28" s="60">
        <v>0</v>
      </c>
      <c r="H28" s="52"/>
      <c r="I28" s="52"/>
      <c r="J28" s="52"/>
      <c r="K28" s="52"/>
      <c r="L28" s="52"/>
    </row>
    <row r="29" spans="1:12" ht="30">
      <c r="A29" s="52"/>
      <c r="B29" s="58" t="s">
        <v>201</v>
      </c>
      <c r="C29" s="60" t="s">
        <v>202</v>
      </c>
      <c r="D29" s="60" t="s">
        <v>203</v>
      </c>
      <c r="E29" s="60" t="s">
        <v>204</v>
      </c>
      <c r="F29" s="60" t="s">
        <v>205</v>
      </c>
      <c r="G29" s="60" t="s">
        <v>206</v>
      </c>
      <c r="H29" s="52"/>
      <c r="I29" s="52"/>
      <c r="J29" s="52"/>
      <c r="K29" s="52"/>
      <c r="L29" s="52"/>
    </row>
    <row r="30" spans="1:12" ht="30">
      <c r="A30" s="52"/>
      <c r="B30" s="58" t="s">
        <v>207</v>
      </c>
      <c r="C30" s="60" t="s">
        <v>176</v>
      </c>
      <c r="D30" s="60" t="s">
        <v>176</v>
      </c>
      <c r="E30" s="60" t="s">
        <v>176</v>
      </c>
      <c r="F30" s="60" t="s">
        <v>176</v>
      </c>
      <c r="G30" s="60" t="s">
        <v>208</v>
      </c>
      <c r="H30" s="52"/>
      <c r="I30" s="52"/>
      <c r="J30" s="52"/>
      <c r="K30" s="52"/>
      <c r="L30" s="52"/>
    </row>
    <row r="31" spans="1:12" ht="30">
      <c r="A31" s="52"/>
      <c r="B31" s="58" t="s">
        <v>209</v>
      </c>
      <c r="C31" s="60" t="s">
        <v>210</v>
      </c>
      <c r="D31" s="60" t="s">
        <v>211</v>
      </c>
      <c r="E31" s="60" t="s">
        <v>212</v>
      </c>
      <c r="F31" s="60" t="s">
        <v>213</v>
      </c>
      <c r="G31" s="60" t="s">
        <v>176</v>
      </c>
      <c r="H31" s="52"/>
      <c r="I31" s="52"/>
      <c r="J31" s="52"/>
      <c r="K31" s="52"/>
      <c r="L31" s="52"/>
    </row>
    <row r="32" spans="1:12" ht="45">
      <c r="A32" s="52"/>
      <c r="B32" s="58" t="s">
        <v>214</v>
      </c>
      <c r="C32" s="60" t="s">
        <v>176</v>
      </c>
      <c r="D32" s="60" t="s">
        <v>176</v>
      </c>
      <c r="E32" s="60" t="s">
        <v>176</v>
      </c>
      <c r="F32" s="60" t="s">
        <v>176</v>
      </c>
      <c r="G32" s="60" t="s">
        <v>176</v>
      </c>
      <c r="H32" s="52"/>
      <c r="I32" s="52"/>
      <c r="J32" s="52"/>
      <c r="K32" s="52"/>
      <c r="L32" s="52"/>
    </row>
    <row r="33" spans="1:12" ht="30">
      <c r="A33" s="52"/>
      <c r="B33" s="58" t="s">
        <v>215</v>
      </c>
      <c r="C33" s="60" t="s">
        <v>176</v>
      </c>
      <c r="D33" s="60" t="s">
        <v>176</v>
      </c>
      <c r="E33" s="60" t="s">
        <v>176</v>
      </c>
      <c r="F33" s="60" t="s">
        <v>176</v>
      </c>
      <c r="G33" s="60" t="s">
        <v>176</v>
      </c>
      <c r="H33" s="52"/>
      <c r="I33" s="52"/>
      <c r="J33" s="52"/>
      <c r="K33" s="52"/>
      <c r="L33" s="52"/>
    </row>
    <row r="34" spans="1:12" ht="30">
      <c r="A34" s="52"/>
      <c r="B34" s="58" t="s">
        <v>216</v>
      </c>
      <c r="C34" s="60" t="s">
        <v>176</v>
      </c>
      <c r="D34" s="60" t="s">
        <v>176</v>
      </c>
      <c r="E34" s="60" t="s">
        <v>176</v>
      </c>
      <c r="F34" s="60" t="s">
        <v>176</v>
      </c>
      <c r="G34" s="60" t="s">
        <v>217</v>
      </c>
      <c r="H34" s="52"/>
      <c r="I34" s="52"/>
      <c r="J34" s="52"/>
      <c r="K34" s="52"/>
      <c r="L34" s="52"/>
    </row>
    <row r="35" spans="1:12">
      <c r="A35" s="52"/>
      <c r="B35" s="61"/>
      <c r="C35" s="61"/>
      <c r="D35" s="61"/>
      <c r="E35" s="61"/>
      <c r="F35" s="61"/>
      <c r="G35" s="61"/>
      <c r="H35" s="52"/>
      <c r="I35" s="52"/>
      <c r="J35" s="52"/>
      <c r="K35" s="52"/>
      <c r="L35" s="52"/>
    </row>
    <row r="36" spans="1:12">
      <c r="A36" s="439" t="s">
        <v>141</v>
      </c>
      <c r="B36" s="443"/>
      <c r="C36" s="444"/>
      <c r="D36" s="444"/>
      <c r="E36" s="444"/>
      <c r="F36" s="444"/>
      <c r="G36" s="444"/>
      <c r="H36" s="432"/>
      <c r="I36" s="433"/>
      <c r="J36" s="52"/>
      <c r="K36" s="52"/>
      <c r="L36" s="52"/>
    </row>
    <row r="37" spans="1:12">
      <c r="A37" s="57" t="s">
        <v>218</v>
      </c>
      <c r="B37" s="57" t="s">
        <v>219</v>
      </c>
      <c r="C37" s="52"/>
      <c r="D37" s="52"/>
      <c r="E37" s="52"/>
      <c r="F37" s="52"/>
      <c r="G37" s="52"/>
      <c r="H37" s="52"/>
      <c r="I37" s="52"/>
      <c r="J37" s="52"/>
      <c r="K37" s="52"/>
      <c r="L37" s="52"/>
    </row>
    <row r="38" spans="1:12">
      <c r="A38" s="60" t="s">
        <v>220</v>
      </c>
      <c r="B38" s="60">
        <v>4</v>
      </c>
      <c r="C38" s="52"/>
      <c r="D38" s="52"/>
      <c r="E38" s="52"/>
      <c r="F38" s="52"/>
      <c r="G38" s="52"/>
      <c r="H38" s="52"/>
      <c r="I38" s="52"/>
      <c r="J38" s="52"/>
      <c r="K38" s="52"/>
      <c r="L38" s="52"/>
    </row>
    <row r="39" spans="1:12">
      <c r="A39" s="60" t="s">
        <v>221</v>
      </c>
      <c r="B39" s="60">
        <v>5</v>
      </c>
      <c r="C39" s="52"/>
      <c r="D39" s="52"/>
      <c r="E39" s="52"/>
      <c r="F39" s="52"/>
      <c r="G39" s="52"/>
      <c r="H39" s="52"/>
      <c r="I39" s="52"/>
      <c r="J39" s="52"/>
      <c r="K39" s="52"/>
      <c r="L39" s="52"/>
    </row>
    <row r="40" spans="1:12">
      <c r="A40" s="60" t="s">
        <v>222</v>
      </c>
      <c r="B40" s="60">
        <v>5</v>
      </c>
      <c r="C40" s="52"/>
      <c r="D40" s="52"/>
      <c r="E40" s="52"/>
      <c r="F40" s="52"/>
      <c r="G40" s="52"/>
      <c r="H40" s="52"/>
      <c r="I40" s="52"/>
      <c r="J40" s="52"/>
      <c r="K40" s="52"/>
      <c r="L40" s="52"/>
    </row>
    <row r="41" spans="1:12">
      <c r="A41" s="60" t="s">
        <v>223</v>
      </c>
      <c r="B41" s="60">
        <v>4</v>
      </c>
      <c r="C41" s="52"/>
      <c r="D41" s="52"/>
      <c r="E41" s="52"/>
      <c r="F41" s="52"/>
      <c r="G41" s="52"/>
      <c r="H41" s="52"/>
      <c r="I41" s="52"/>
      <c r="J41" s="52"/>
      <c r="K41" s="52"/>
      <c r="L41" s="52"/>
    </row>
    <row r="42" spans="1:12">
      <c r="A42" s="52"/>
      <c r="B42" s="52"/>
      <c r="C42" s="52"/>
      <c r="D42" s="52"/>
      <c r="E42" s="52"/>
      <c r="F42" s="52"/>
      <c r="G42" s="52"/>
      <c r="H42" s="52"/>
      <c r="I42" s="52"/>
      <c r="J42" s="52"/>
      <c r="K42" s="52"/>
      <c r="L42" s="52"/>
    </row>
    <row r="43" spans="1:12">
      <c r="A43" s="51"/>
      <c r="B43" s="51"/>
      <c r="C43" s="51"/>
      <c r="D43" s="51"/>
      <c r="E43" s="51"/>
      <c r="F43" s="51"/>
      <c r="G43" s="51"/>
      <c r="H43" s="51"/>
      <c r="I43" s="51"/>
      <c r="J43" s="52"/>
      <c r="K43" s="52"/>
      <c r="L43" s="52"/>
    </row>
    <row r="44" spans="1:12">
      <c r="A44" s="434" t="s">
        <v>146</v>
      </c>
      <c r="B44" s="432"/>
      <c r="C44" s="432"/>
      <c r="D44" s="432"/>
      <c r="E44" s="432"/>
      <c r="F44" s="432"/>
      <c r="G44" s="432"/>
      <c r="H44" s="432"/>
      <c r="I44" s="433"/>
      <c r="J44" s="52"/>
      <c r="K44" s="52"/>
      <c r="L44" s="52"/>
    </row>
    <row r="45" spans="1:12">
      <c r="A45" s="438" t="s">
        <v>224</v>
      </c>
      <c r="B45" s="438"/>
      <c r="C45" s="438"/>
      <c r="D45" s="438"/>
      <c r="E45" s="438"/>
      <c r="F45" s="438"/>
      <c r="G45" s="438"/>
      <c r="H45" s="438"/>
      <c r="I45" s="438"/>
      <c r="J45" s="52"/>
      <c r="K45" s="52"/>
      <c r="L45" s="52"/>
    </row>
    <row r="46" spans="1:12">
      <c r="A46" s="446" t="s">
        <v>225</v>
      </c>
      <c r="B46" s="446"/>
      <c r="C46" s="446"/>
      <c r="D46" s="446"/>
      <c r="E46" s="446"/>
      <c r="F46" s="446"/>
      <c r="G46" s="446"/>
      <c r="H46" s="446"/>
      <c r="I46" s="446"/>
      <c r="J46" s="52"/>
      <c r="K46" s="52"/>
      <c r="L46" s="52"/>
    </row>
    <row r="47" spans="1:12">
      <c r="A47" s="446" t="s">
        <v>226</v>
      </c>
      <c r="B47" s="446"/>
      <c r="C47" s="446"/>
      <c r="D47" s="446"/>
      <c r="E47" s="446"/>
      <c r="F47" s="446"/>
      <c r="G47" s="446"/>
      <c r="H47" s="446"/>
      <c r="I47" s="446"/>
      <c r="J47" s="52"/>
      <c r="K47" s="52"/>
      <c r="L47" s="52"/>
    </row>
    <row r="48" spans="1:12">
      <c r="A48" s="52"/>
      <c r="B48" s="52"/>
      <c r="C48" s="52"/>
      <c r="D48" s="52"/>
      <c r="E48" s="52"/>
      <c r="F48" s="52"/>
      <c r="G48" s="52"/>
      <c r="H48" s="52"/>
      <c r="I48" s="52"/>
      <c r="J48" s="52"/>
      <c r="K48" s="52"/>
      <c r="L48" s="52"/>
    </row>
    <row r="49" spans="1:12">
      <c r="A49" s="52"/>
      <c r="B49" s="52"/>
      <c r="C49" s="52"/>
      <c r="D49" s="52"/>
      <c r="E49" s="52"/>
      <c r="F49" s="52"/>
      <c r="G49" s="52"/>
      <c r="H49" s="52"/>
      <c r="I49" s="52"/>
      <c r="J49" s="52"/>
      <c r="K49" s="52"/>
      <c r="L49" s="52"/>
    </row>
    <row r="50" spans="1:12">
      <c r="A50" s="52" t="s">
        <v>227</v>
      </c>
      <c r="B50" s="52"/>
      <c r="C50" s="52"/>
      <c r="D50" s="52"/>
      <c r="E50" s="52"/>
      <c r="F50" s="52"/>
      <c r="G50" s="52"/>
      <c r="H50" s="52"/>
      <c r="I50" s="52"/>
      <c r="J50" s="52"/>
      <c r="K50" s="52"/>
      <c r="L50" s="52"/>
    </row>
    <row r="51" spans="1:12">
      <c r="A51" s="52"/>
      <c r="B51" s="52"/>
      <c r="C51" s="52"/>
      <c r="D51" s="52"/>
      <c r="E51" s="52"/>
      <c r="F51" s="52"/>
      <c r="G51" s="52"/>
      <c r="H51" s="52"/>
      <c r="I51" s="52"/>
      <c r="J51" s="52"/>
      <c r="K51" s="52"/>
      <c r="L51" s="52"/>
    </row>
    <row r="52" spans="1:12">
      <c r="A52" s="52"/>
      <c r="B52" s="52"/>
      <c r="C52" s="52"/>
      <c r="D52" s="52"/>
      <c r="E52" s="52"/>
      <c r="F52" s="52"/>
      <c r="G52" s="52"/>
      <c r="H52" s="52"/>
      <c r="I52" s="52"/>
      <c r="J52" s="52"/>
      <c r="K52" s="52"/>
      <c r="L52" s="52"/>
    </row>
  </sheetData>
  <mergeCells count="13">
    <mergeCell ref="A46:I46"/>
    <mergeCell ref="A47:I47"/>
    <mergeCell ref="B10:I12"/>
    <mergeCell ref="B9:D9"/>
    <mergeCell ref="B6:D6"/>
    <mergeCell ref="A1:I1"/>
    <mergeCell ref="A3:I3"/>
    <mergeCell ref="B5:D5"/>
    <mergeCell ref="A45:I45"/>
    <mergeCell ref="A13:I13"/>
    <mergeCell ref="A21:I21"/>
    <mergeCell ref="A36:I36"/>
    <mergeCell ref="A44:I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E330E-F417-4B0C-9E45-A4D987CF732C}">
  <dimension ref="A1:M44"/>
  <sheetViews>
    <sheetView workbookViewId="0">
      <selection activeCell="A12" sqref="A12:I12"/>
    </sheetView>
  </sheetViews>
  <sheetFormatPr defaultRowHeight="15"/>
  <cols>
    <col min="1" max="1" width="39.42578125" customWidth="1"/>
    <col min="9" max="9" width="14.140625" customWidth="1"/>
  </cols>
  <sheetData>
    <row r="1" spans="1:13" ht="15.75">
      <c r="A1" s="418" t="s">
        <v>103</v>
      </c>
      <c r="B1" s="416"/>
      <c r="C1" s="416"/>
      <c r="D1" s="416"/>
      <c r="E1" s="416"/>
      <c r="F1" s="416"/>
      <c r="G1" s="416"/>
      <c r="H1" s="416"/>
      <c r="I1" s="417"/>
      <c r="J1" s="33"/>
      <c r="K1" s="33"/>
      <c r="L1" s="33"/>
      <c r="M1" s="33"/>
    </row>
    <row r="3" spans="1:13">
      <c r="A3" s="419" t="s">
        <v>104</v>
      </c>
      <c r="B3" s="416"/>
      <c r="C3" s="416"/>
      <c r="D3" s="416"/>
      <c r="E3" s="416"/>
      <c r="F3" s="416"/>
      <c r="G3" s="416"/>
      <c r="H3" s="416"/>
      <c r="I3" s="417"/>
      <c r="J3" s="33"/>
      <c r="K3" s="33"/>
      <c r="L3" s="33"/>
      <c r="M3" s="33"/>
    </row>
    <row r="4" spans="1:13" ht="15.75">
      <c r="A4" s="34" t="s">
        <v>3</v>
      </c>
      <c r="B4" s="62" t="s">
        <v>228</v>
      </c>
      <c r="C4" s="35"/>
      <c r="D4" s="36"/>
      <c r="E4" s="33"/>
      <c r="F4" s="33"/>
      <c r="G4" s="33"/>
      <c r="H4" s="33"/>
      <c r="I4" s="33"/>
      <c r="J4" s="33"/>
      <c r="K4" s="33"/>
      <c r="L4" s="33"/>
      <c r="M4" s="33"/>
    </row>
    <row r="5" spans="1:13">
      <c r="A5" s="34" t="s">
        <v>5</v>
      </c>
      <c r="B5" s="415" t="s">
        <v>229</v>
      </c>
      <c r="C5" s="416"/>
      <c r="D5" s="417"/>
      <c r="E5" s="33"/>
      <c r="F5" s="33"/>
      <c r="G5" s="33"/>
      <c r="H5" s="33"/>
      <c r="I5" s="33"/>
      <c r="J5" s="33"/>
      <c r="K5" s="33"/>
      <c r="L5" s="33"/>
      <c r="M5" s="33"/>
    </row>
    <row r="6" spans="1:13">
      <c r="A6" s="34" t="s">
        <v>107</v>
      </c>
      <c r="B6" s="461" t="s">
        <v>229</v>
      </c>
      <c r="C6" s="416"/>
      <c r="D6" s="417"/>
      <c r="E6" s="33"/>
      <c r="F6" s="33"/>
      <c r="G6" s="33"/>
      <c r="H6" s="33"/>
      <c r="I6" s="33"/>
      <c r="J6" s="33"/>
      <c r="K6" s="33"/>
      <c r="L6" s="33"/>
      <c r="M6" s="33"/>
    </row>
    <row r="7" spans="1:13">
      <c r="A7" s="34" t="s">
        <v>109</v>
      </c>
      <c r="B7" s="415" t="s">
        <v>230</v>
      </c>
      <c r="C7" s="416"/>
      <c r="D7" s="417"/>
      <c r="E7" s="33"/>
      <c r="F7" s="33"/>
      <c r="G7" s="33"/>
      <c r="H7" s="33"/>
      <c r="I7" s="33"/>
      <c r="J7" s="33"/>
      <c r="K7" s="33"/>
      <c r="L7" s="33"/>
      <c r="M7" s="33"/>
    </row>
    <row r="8" spans="1:13">
      <c r="A8" s="34" t="s">
        <v>11</v>
      </c>
      <c r="B8" s="415" t="s">
        <v>231</v>
      </c>
      <c r="C8" s="416"/>
      <c r="D8" s="417"/>
      <c r="E8" s="33"/>
      <c r="F8" s="33"/>
      <c r="G8" s="33"/>
      <c r="H8" s="33"/>
      <c r="I8" s="33"/>
      <c r="J8" s="33"/>
      <c r="K8" s="33"/>
      <c r="L8" s="33"/>
      <c r="M8" s="33"/>
    </row>
    <row r="9" spans="1:13">
      <c r="A9" s="34" t="s">
        <v>13</v>
      </c>
      <c r="B9" s="33" t="s">
        <v>232</v>
      </c>
      <c r="C9" s="33"/>
      <c r="D9" s="33"/>
      <c r="E9" s="33"/>
      <c r="F9" s="33"/>
      <c r="G9" s="33"/>
      <c r="H9" s="33"/>
      <c r="I9" s="33"/>
      <c r="J9" s="33"/>
      <c r="K9" s="33"/>
      <c r="L9" s="33"/>
      <c r="M9" s="33"/>
    </row>
    <row r="10" spans="1:13">
      <c r="A10" s="33"/>
      <c r="B10" s="33"/>
      <c r="C10" s="33"/>
      <c r="D10" s="33"/>
      <c r="E10" s="33"/>
      <c r="F10" s="33"/>
      <c r="G10" s="33"/>
      <c r="H10" s="33"/>
      <c r="I10" s="33"/>
      <c r="J10" s="33"/>
      <c r="K10" s="33"/>
      <c r="L10" s="33"/>
      <c r="M10" s="33"/>
    </row>
    <row r="11" spans="1:13">
      <c r="A11" s="33"/>
      <c r="B11" s="33"/>
      <c r="C11" s="33"/>
      <c r="D11" s="33"/>
      <c r="E11" s="33"/>
      <c r="F11" s="33"/>
      <c r="G11" s="33"/>
      <c r="H11" s="33"/>
      <c r="I11" s="33"/>
      <c r="J11" s="33"/>
      <c r="K11" s="33"/>
      <c r="L11" s="33"/>
      <c r="M11" s="33"/>
    </row>
    <row r="12" spans="1:13">
      <c r="A12" s="419" t="s">
        <v>115</v>
      </c>
      <c r="B12" s="416"/>
      <c r="C12" s="416"/>
      <c r="D12" s="416"/>
      <c r="E12" s="416"/>
      <c r="F12" s="416"/>
      <c r="G12" s="416"/>
      <c r="H12" s="416"/>
      <c r="I12" s="417"/>
      <c r="J12" s="33"/>
      <c r="K12" s="33"/>
      <c r="L12" s="33"/>
      <c r="M12" s="33"/>
    </row>
    <row r="13" spans="1:13" ht="15.75">
      <c r="A13" s="33"/>
      <c r="B13" s="37"/>
      <c r="C13" s="38" t="s">
        <v>116</v>
      </c>
      <c r="D13" s="39" t="s">
        <v>117</v>
      </c>
      <c r="E13" s="39" t="s">
        <v>118</v>
      </c>
      <c r="F13" s="39" t="s">
        <v>119</v>
      </c>
      <c r="G13" s="39" t="s">
        <v>120</v>
      </c>
    </row>
    <row r="14" spans="1:13">
      <c r="A14" s="33"/>
      <c r="B14" s="40" t="s">
        <v>125</v>
      </c>
      <c r="C14" s="63">
        <v>23246.6</v>
      </c>
      <c r="D14" s="63">
        <v>25604.95</v>
      </c>
      <c r="E14" s="63">
        <v>28600.45</v>
      </c>
      <c r="F14" s="63">
        <v>32304.18</v>
      </c>
      <c r="G14" s="63">
        <v>33589.18</v>
      </c>
    </row>
    <row r="15" spans="1:13">
      <c r="A15" s="33"/>
      <c r="B15" s="40" t="s">
        <v>126</v>
      </c>
      <c r="C15" s="64">
        <v>3245.95</v>
      </c>
      <c r="D15" s="64">
        <v>5080.04</v>
      </c>
      <c r="E15" s="64">
        <v>5827.74</v>
      </c>
      <c r="F15" s="64">
        <v>7621.05</v>
      </c>
      <c r="G15" s="64">
        <v>8364.1299999999992</v>
      </c>
    </row>
    <row r="16" spans="1:13">
      <c r="A16" s="33"/>
      <c r="B16" s="40" t="s">
        <v>127</v>
      </c>
      <c r="C16" s="65">
        <v>5708.26</v>
      </c>
      <c r="D16" s="65">
        <v>6400.3</v>
      </c>
      <c r="E16" s="65">
        <v>8358.58</v>
      </c>
      <c r="F16" s="65">
        <v>11674.68</v>
      </c>
      <c r="G16" s="65">
        <v>12216.31</v>
      </c>
    </row>
    <row r="17" spans="1:12">
      <c r="A17" s="33"/>
      <c r="B17" s="40" t="s">
        <v>128</v>
      </c>
      <c r="C17" s="66">
        <v>48.54</v>
      </c>
      <c r="D17" s="66">
        <v>75.959999999999994</v>
      </c>
      <c r="E17" s="66">
        <v>87.14</v>
      </c>
      <c r="F17" s="66">
        <v>113.96</v>
      </c>
      <c r="G17" s="66">
        <v>125.07</v>
      </c>
    </row>
    <row r="18" spans="1:12">
      <c r="A18" s="33"/>
      <c r="B18" s="40" t="s">
        <v>129</v>
      </c>
      <c r="C18" s="67">
        <v>15</v>
      </c>
      <c r="D18" s="67">
        <v>20</v>
      </c>
      <c r="E18" s="67">
        <v>27.5</v>
      </c>
      <c r="F18" s="67">
        <v>35</v>
      </c>
      <c r="G18" s="67">
        <v>25</v>
      </c>
    </row>
    <row r="20" spans="1:12">
      <c r="A20" s="419" t="s">
        <v>131</v>
      </c>
      <c r="B20" s="416"/>
      <c r="C20" s="416"/>
      <c r="D20" s="459"/>
      <c r="E20" s="459"/>
      <c r="F20" s="459"/>
      <c r="G20" s="459"/>
      <c r="H20" s="416"/>
      <c r="I20" s="417"/>
      <c r="J20" s="33"/>
      <c r="K20" s="33"/>
      <c r="L20" s="33"/>
    </row>
    <row r="21" spans="1:12" ht="15.75">
      <c r="A21" s="77"/>
      <c r="B21" s="76"/>
      <c r="C21" s="39" t="s">
        <v>120</v>
      </c>
      <c r="D21" s="76"/>
      <c r="E21" s="76"/>
      <c r="F21" s="76"/>
      <c r="G21" s="76"/>
      <c r="H21" s="76"/>
      <c r="I21" s="76"/>
      <c r="J21" s="33"/>
      <c r="K21" s="33"/>
      <c r="L21" s="33"/>
    </row>
    <row r="22" spans="1:12">
      <c r="A22" s="33"/>
      <c r="B22" s="34" t="s">
        <v>132</v>
      </c>
      <c r="C22" s="74" t="s">
        <v>233</v>
      </c>
      <c r="D22" s="71"/>
      <c r="E22" s="71"/>
      <c r="F22" s="71"/>
      <c r="G22" s="71"/>
      <c r="H22" s="33"/>
      <c r="I22" s="33"/>
      <c r="J22" s="33"/>
      <c r="K22" s="33"/>
      <c r="L22" s="33"/>
    </row>
    <row r="23" spans="1:12">
      <c r="A23" s="33"/>
      <c r="B23" s="34" t="s">
        <v>92</v>
      </c>
      <c r="C23" s="73">
        <v>40.1</v>
      </c>
      <c r="D23" s="72"/>
      <c r="E23" s="72"/>
      <c r="F23" s="72"/>
      <c r="G23" s="72"/>
      <c r="H23" s="33"/>
      <c r="I23" s="33"/>
      <c r="J23" s="33"/>
      <c r="K23" s="33"/>
      <c r="L23" s="33"/>
    </row>
    <row r="24" spans="1:12">
      <c r="A24" s="33"/>
      <c r="B24" s="34" t="s">
        <v>95</v>
      </c>
      <c r="C24" s="75">
        <v>24.3</v>
      </c>
      <c r="D24" s="69"/>
      <c r="E24" s="69"/>
      <c r="F24" s="69"/>
      <c r="G24" s="69"/>
      <c r="H24" s="33"/>
      <c r="I24" s="33"/>
      <c r="J24" s="33"/>
      <c r="K24" s="33"/>
      <c r="L24" s="33"/>
    </row>
    <row r="25" spans="1:12">
      <c r="A25" s="33"/>
      <c r="B25" s="34" t="s">
        <v>133</v>
      </c>
      <c r="C25" s="75">
        <v>0.7</v>
      </c>
      <c r="D25" s="69"/>
      <c r="E25" s="69"/>
      <c r="F25" s="69"/>
      <c r="G25" s="69"/>
      <c r="H25" s="33"/>
      <c r="I25" s="33"/>
      <c r="J25" s="33"/>
      <c r="K25" s="33"/>
      <c r="L25" s="33"/>
    </row>
    <row r="26" spans="1:12">
      <c r="A26" s="33"/>
      <c r="B26" s="34" t="s">
        <v>134</v>
      </c>
      <c r="C26" s="75">
        <v>0</v>
      </c>
      <c r="D26" s="69"/>
      <c r="E26" s="69"/>
      <c r="F26" s="69"/>
      <c r="G26" s="69"/>
      <c r="H26" s="33"/>
      <c r="I26" s="33"/>
      <c r="J26" s="33"/>
      <c r="K26" s="33"/>
      <c r="L26" s="33"/>
    </row>
    <row r="27" spans="1:12">
      <c r="A27" s="33"/>
      <c r="B27" s="68" t="s">
        <v>138</v>
      </c>
      <c r="C27" s="74" t="s">
        <v>234</v>
      </c>
      <c r="D27" s="71"/>
      <c r="E27" s="71"/>
      <c r="F27" s="71"/>
      <c r="G27" s="71"/>
      <c r="H27" s="33"/>
      <c r="I27" s="33"/>
      <c r="J27" s="33"/>
      <c r="K27" s="33"/>
      <c r="L27" s="33"/>
    </row>
    <row r="28" spans="1:12">
      <c r="A28" s="33"/>
      <c r="B28" s="68"/>
      <c r="C28" s="69"/>
      <c r="D28" s="69"/>
      <c r="E28" s="69"/>
      <c r="F28" s="69"/>
      <c r="G28" s="69"/>
      <c r="H28" s="33"/>
      <c r="I28" s="33"/>
      <c r="J28" s="33"/>
      <c r="K28" s="33"/>
      <c r="L28" s="33"/>
    </row>
    <row r="29" spans="1:12">
      <c r="A29" s="460" t="s">
        <v>235</v>
      </c>
      <c r="B29" s="416"/>
      <c r="C29" s="416"/>
      <c r="D29" s="416"/>
      <c r="E29" s="416"/>
      <c r="F29" s="416"/>
      <c r="G29" s="416"/>
      <c r="H29" s="416"/>
      <c r="I29" s="417"/>
      <c r="J29" s="33"/>
      <c r="K29" s="33"/>
      <c r="L29" s="33"/>
    </row>
    <row r="30" spans="1:12">
      <c r="A30" s="32"/>
      <c r="B30" s="76"/>
      <c r="C30" s="2"/>
      <c r="D30" s="70"/>
      <c r="E30" s="70"/>
      <c r="F30" s="70"/>
      <c r="G30" s="70"/>
      <c r="H30" s="76"/>
      <c r="I30" s="76"/>
      <c r="J30" s="33"/>
      <c r="K30" s="33"/>
      <c r="L30" s="33"/>
    </row>
    <row r="31" spans="1:12">
      <c r="A31" s="33"/>
      <c r="B31" s="34" t="s">
        <v>236</v>
      </c>
      <c r="C31" s="80">
        <v>2.1499999999999998E-2</v>
      </c>
      <c r="H31" s="33"/>
      <c r="I31" s="33"/>
      <c r="J31" s="33"/>
      <c r="K31" s="33"/>
      <c r="L31" s="33"/>
    </row>
    <row r="32" spans="1:12">
      <c r="A32" s="33"/>
      <c r="B32" s="34" t="s">
        <v>237</v>
      </c>
      <c r="C32" s="78">
        <v>0.77</v>
      </c>
      <c r="H32" s="33"/>
      <c r="I32" s="33"/>
    </row>
    <row r="33" spans="1:9">
      <c r="A33" s="33"/>
      <c r="B33" s="34" t="s">
        <v>79</v>
      </c>
      <c r="C33" s="79" t="s">
        <v>238</v>
      </c>
      <c r="H33" s="33"/>
      <c r="I33" s="33"/>
    </row>
    <row r="35" spans="1:9">
      <c r="A35" s="419" t="s">
        <v>141</v>
      </c>
      <c r="B35" s="416"/>
      <c r="C35" s="416"/>
      <c r="D35" s="416"/>
      <c r="E35" s="416"/>
      <c r="F35" s="416"/>
      <c r="G35" s="416"/>
      <c r="H35" s="416"/>
      <c r="I35" s="417"/>
    </row>
    <row r="36" spans="1:9">
      <c r="A36" s="33"/>
      <c r="B36" s="34" t="s">
        <v>239</v>
      </c>
      <c r="C36" s="47">
        <v>4</v>
      </c>
      <c r="D36" s="33"/>
      <c r="E36" s="33"/>
      <c r="F36" s="33"/>
      <c r="G36" s="33"/>
      <c r="H36" s="33"/>
      <c r="I36" s="33"/>
    </row>
    <row r="37" spans="1:9">
      <c r="A37" s="33"/>
      <c r="B37" s="34" t="s">
        <v>143</v>
      </c>
      <c r="C37" s="47">
        <v>4</v>
      </c>
      <c r="D37" s="33"/>
      <c r="E37" s="33"/>
      <c r="F37" s="33"/>
      <c r="G37" s="33"/>
      <c r="H37" s="33"/>
      <c r="I37" s="33"/>
    </row>
    <row r="38" spans="1:9">
      <c r="A38" s="33"/>
      <c r="B38" s="34" t="s">
        <v>222</v>
      </c>
      <c r="C38" s="47">
        <v>5</v>
      </c>
      <c r="D38" s="33"/>
      <c r="E38" s="33"/>
      <c r="F38" s="33"/>
      <c r="G38" s="33"/>
      <c r="H38" s="33"/>
      <c r="I38" s="33"/>
    </row>
    <row r="39" spans="1:9">
      <c r="A39" s="33"/>
      <c r="B39" s="34" t="s">
        <v>223</v>
      </c>
      <c r="C39" s="47">
        <v>3</v>
      </c>
      <c r="D39" s="33"/>
      <c r="E39" s="33"/>
      <c r="F39" s="33"/>
      <c r="G39" s="33"/>
      <c r="H39" s="33"/>
      <c r="I39" s="33"/>
    </row>
    <row r="41" spans="1:9">
      <c r="A41" s="419" t="s">
        <v>146</v>
      </c>
      <c r="B41" s="416"/>
      <c r="C41" s="416"/>
      <c r="D41" s="416"/>
      <c r="E41" s="416"/>
      <c r="F41" s="416"/>
      <c r="G41" s="416"/>
      <c r="H41" s="416"/>
      <c r="I41" s="417"/>
    </row>
    <row r="42" spans="1:9">
      <c r="A42" t="s">
        <v>240</v>
      </c>
      <c r="B42" s="33"/>
      <c r="C42" s="33"/>
      <c r="D42" s="33"/>
      <c r="E42" s="33"/>
      <c r="F42" s="33"/>
      <c r="G42" s="33"/>
      <c r="H42" s="33"/>
      <c r="I42" s="33"/>
    </row>
    <row r="43" spans="1:9">
      <c r="A43" s="33"/>
      <c r="B43" s="33"/>
      <c r="C43" s="33"/>
      <c r="D43" s="33"/>
      <c r="E43" s="33"/>
      <c r="F43" s="33"/>
      <c r="G43" s="33"/>
      <c r="H43" s="33"/>
      <c r="I43" s="33"/>
    </row>
    <row r="44" spans="1:9">
      <c r="A44" s="33"/>
      <c r="B44" s="33"/>
      <c r="C44" s="33"/>
      <c r="D44" s="33"/>
      <c r="E44" s="33"/>
      <c r="F44" s="33"/>
      <c r="G44" s="33"/>
      <c r="H44" s="33"/>
      <c r="I44" s="33"/>
    </row>
  </sheetData>
  <mergeCells count="11">
    <mergeCell ref="B8:D8"/>
    <mergeCell ref="A1:I1"/>
    <mergeCell ref="A3:I3"/>
    <mergeCell ref="B5:D5"/>
    <mergeCell ref="B6:D6"/>
    <mergeCell ref="B7:D7"/>
    <mergeCell ref="A12:I12"/>
    <mergeCell ref="A20:I20"/>
    <mergeCell ref="A29:I29"/>
    <mergeCell ref="A35:I35"/>
    <mergeCell ref="A41:I4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E4481-E298-4F94-A0E6-46D36BB4610E}">
  <sheetPr>
    <tabColor rgb="FF002060"/>
  </sheetPr>
  <dimension ref="A1"/>
  <sheetViews>
    <sheetView workbookViewId="0">
      <selection activeCell="H28" sqref="H28"/>
    </sheetView>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1B7C7-B5E0-42EE-B52E-535FC18AB9A5}">
  <dimension ref="A1:L51"/>
  <sheetViews>
    <sheetView workbookViewId="0">
      <selection activeCell="C55" sqref="C55"/>
    </sheetView>
  </sheetViews>
  <sheetFormatPr defaultColWidth="9.140625" defaultRowHeight="14.45" customHeight="1"/>
  <cols>
    <col min="1" max="1" width="45.28515625" style="81" bestFit="1" customWidth="1"/>
    <col min="2" max="2" width="50.5703125" style="81" bestFit="1" customWidth="1"/>
    <col min="3" max="3" width="23.7109375" style="81" customWidth="1"/>
    <col min="4" max="4" width="30.7109375" style="81" customWidth="1"/>
    <col min="5" max="6" width="9.140625" style="81" customWidth="1"/>
    <col min="7" max="7" width="9.42578125" style="81" bestFit="1" customWidth="1"/>
    <col min="8" max="8" width="9.140625" style="81" customWidth="1"/>
    <col min="9" max="16384" width="9.140625" style="81"/>
  </cols>
  <sheetData>
    <row r="1" spans="1:12" ht="15.75">
      <c r="A1" s="481" t="s">
        <v>103</v>
      </c>
      <c r="B1" s="482"/>
      <c r="C1" s="482"/>
      <c r="D1" s="482"/>
      <c r="E1" s="482"/>
      <c r="F1" s="482"/>
      <c r="G1" s="482"/>
      <c r="H1" s="482"/>
      <c r="I1" s="483"/>
    </row>
    <row r="3" spans="1:12" ht="15">
      <c r="A3" s="484" t="s">
        <v>104</v>
      </c>
      <c r="B3" s="479"/>
      <c r="C3" s="479"/>
      <c r="D3" s="479"/>
      <c r="E3" s="479"/>
      <c r="F3" s="479"/>
      <c r="G3" s="479"/>
      <c r="H3" s="479"/>
      <c r="I3" s="480"/>
    </row>
    <row r="4" spans="1:12" ht="15.75">
      <c r="A4" s="82" t="s">
        <v>3</v>
      </c>
      <c r="B4" s="83" t="s">
        <v>241</v>
      </c>
      <c r="C4" s="84" t="s">
        <v>242</v>
      </c>
      <c r="D4" s="85" t="s">
        <v>242</v>
      </c>
      <c r="E4" s="86"/>
      <c r="F4" s="86"/>
      <c r="G4" s="86"/>
      <c r="H4" s="86"/>
      <c r="I4" s="86"/>
    </row>
    <row r="5" spans="1:12" ht="15">
      <c r="A5" s="82" t="s">
        <v>5</v>
      </c>
      <c r="B5" s="464" t="s">
        <v>243</v>
      </c>
      <c r="C5" s="465"/>
      <c r="D5" s="466"/>
      <c r="E5" s="86"/>
      <c r="F5" s="86"/>
      <c r="G5" s="86"/>
      <c r="H5" s="86"/>
      <c r="I5" s="86"/>
    </row>
    <row r="6" spans="1:12" ht="15">
      <c r="A6" s="87" t="s">
        <v>107</v>
      </c>
      <c r="B6" s="485" t="s">
        <v>244</v>
      </c>
      <c r="C6" s="485"/>
      <c r="D6" s="486"/>
      <c r="E6" s="86"/>
      <c r="F6" s="86"/>
      <c r="G6" s="86"/>
      <c r="H6" s="86"/>
      <c r="I6" s="86"/>
    </row>
    <row r="7" spans="1:12" ht="15.75">
      <c r="A7" s="88" t="s">
        <v>109</v>
      </c>
      <c r="B7" s="89" t="s">
        <v>245</v>
      </c>
      <c r="C7" s="90"/>
      <c r="D7" s="91"/>
      <c r="E7" s="86"/>
      <c r="F7" s="86"/>
      <c r="G7" s="86"/>
      <c r="H7" s="86"/>
      <c r="I7" s="86"/>
    </row>
    <row r="8" spans="1:12" ht="15.75">
      <c r="A8" s="88" t="s">
        <v>11</v>
      </c>
      <c r="B8" s="92" t="s">
        <v>246</v>
      </c>
      <c r="C8" s="93" t="s">
        <v>247</v>
      </c>
      <c r="D8" s="91"/>
      <c r="E8" s="86"/>
      <c r="F8" s="86"/>
      <c r="G8" s="86"/>
      <c r="H8" s="86"/>
      <c r="I8" s="86"/>
    </row>
    <row r="9" spans="1:12" ht="15">
      <c r="A9" s="88" t="s">
        <v>112</v>
      </c>
      <c r="B9" s="464" t="s">
        <v>248</v>
      </c>
      <c r="C9" s="465"/>
      <c r="D9" s="466"/>
      <c r="E9" s="86"/>
      <c r="F9" s="86"/>
      <c r="G9" s="86"/>
      <c r="H9" s="86"/>
      <c r="I9" s="86"/>
    </row>
    <row r="10" spans="1:12" ht="15">
      <c r="A10" s="467" t="s">
        <v>13</v>
      </c>
      <c r="B10" s="469" t="s">
        <v>249</v>
      </c>
      <c r="C10" s="470"/>
      <c r="D10" s="470"/>
      <c r="E10" s="470"/>
      <c r="F10" s="470"/>
      <c r="G10" s="470"/>
      <c r="H10" s="470"/>
      <c r="I10" s="471"/>
    </row>
    <row r="11" spans="1:12" ht="15">
      <c r="A11" s="467"/>
      <c r="B11" s="472"/>
      <c r="C11" s="473"/>
      <c r="D11" s="473"/>
      <c r="E11" s="473"/>
      <c r="F11" s="473"/>
      <c r="G11" s="473"/>
      <c r="H11" s="473"/>
      <c r="I11" s="474"/>
    </row>
    <row r="12" spans="1:12" ht="15">
      <c r="A12" s="468"/>
      <c r="B12" s="475"/>
      <c r="C12" s="476"/>
      <c r="D12" s="476"/>
      <c r="E12" s="476"/>
      <c r="F12" s="476"/>
      <c r="G12" s="476"/>
      <c r="H12" s="476"/>
      <c r="I12" s="477"/>
    </row>
    <row r="14" spans="1:12" ht="15">
      <c r="A14" s="462" t="s">
        <v>115</v>
      </c>
      <c r="B14" s="463"/>
      <c r="C14" s="463"/>
      <c r="D14" s="463"/>
      <c r="E14" s="463"/>
      <c r="F14" s="463"/>
      <c r="G14" s="463"/>
      <c r="H14" s="463"/>
      <c r="I14" s="463"/>
      <c r="J14" s="463"/>
      <c r="K14" s="463"/>
      <c r="L14" s="463"/>
    </row>
    <row r="15" spans="1:12" ht="15.75">
      <c r="B15" s="94"/>
      <c r="C15" s="95" t="s">
        <v>116</v>
      </c>
      <c r="D15" s="96" t="s">
        <v>117</v>
      </c>
      <c r="E15" s="96" t="s">
        <v>118</v>
      </c>
      <c r="F15" s="96" t="s">
        <v>119</v>
      </c>
      <c r="G15" s="96" t="s">
        <v>120</v>
      </c>
      <c r="H15" s="96" t="s">
        <v>121</v>
      </c>
      <c r="I15" s="96" t="s">
        <v>122</v>
      </c>
      <c r="J15" s="96" t="s">
        <v>123</v>
      </c>
      <c r="K15" s="96" t="s">
        <v>124</v>
      </c>
      <c r="L15" s="96" t="s">
        <v>156</v>
      </c>
    </row>
    <row r="16" spans="1:12" ht="15">
      <c r="B16" s="97" t="s">
        <v>125</v>
      </c>
      <c r="C16" s="98">
        <v>47028</v>
      </c>
      <c r="D16" s="99">
        <v>52446</v>
      </c>
      <c r="E16" s="99">
        <v>60580</v>
      </c>
      <c r="F16" s="99">
        <v>61896</v>
      </c>
      <c r="G16" s="99">
        <v>63121</v>
      </c>
      <c r="H16" s="99">
        <v>68171</v>
      </c>
      <c r="I16" s="99">
        <v>73624</v>
      </c>
      <c r="J16" s="99">
        <v>79514</v>
      </c>
      <c r="K16" s="99">
        <v>85875</v>
      </c>
      <c r="L16" s="99">
        <v>92745</v>
      </c>
    </row>
    <row r="17" spans="1:12" ht="15">
      <c r="B17" s="97" t="s">
        <v>126</v>
      </c>
      <c r="C17" s="100">
        <v>7999</v>
      </c>
      <c r="D17" s="101">
        <v>8892</v>
      </c>
      <c r="E17" s="101">
        <v>10143</v>
      </c>
      <c r="F17" s="101">
        <v>10282</v>
      </c>
      <c r="G17" s="101">
        <v>10671</v>
      </c>
      <c r="H17" s="101">
        <v>11525</v>
      </c>
      <c r="I17" s="101">
        <v>12447</v>
      </c>
      <c r="J17" s="101">
        <v>13442</v>
      </c>
      <c r="K17" s="101">
        <v>14518</v>
      </c>
      <c r="L17" s="101">
        <v>15679</v>
      </c>
    </row>
    <row r="18" spans="1:12" ht="15">
      <c r="B18" s="97" t="s">
        <v>127</v>
      </c>
      <c r="C18" s="100">
        <v>11626</v>
      </c>
      <c r="D18" s="101">
        <v>12857</v>
      </c>
      <c r="E18" s="101">
        <v>14147</v>
      </c>
      <c r="F18" s="101">
        <v>14659</v>
      </c>
      <c r="G18" s="101">
        <v>14843</v>
      </c>
      <c r="H18" s="101">
        <v>15734</v>
      </c>
      <c r="I18" s="101">
        <v>16678</v>
      </c>
      <c r="J18" s="101">
        <v>17678</v>
      </c>
      <c r="K18" s="101">
        <v>18739</v>
      </c>
      <c r="L18" s="101">
        <v>19863</v>
      </c>
    </row>
    <row r="19" spans="1:12" ht="15">
      <c r="B19" s="97" t="s">
        <v>128</v>
      </c>
      <c r="C19" s="102">
        <v>34.03</v>
      </c>
      <c r="D19" s="103">
        <v>37.79</v>
      </c>
      <c r="E19" s="103">
        <v>43.07</v>
      </c>
      <c r="F19" s="103">
        <v>43.74</v>
      </c>
      <c r="G19" s="103">
        <v>45.32</v>
      </c>
      <c r="H19" s="103">
        <v>48.95</v>
      </c>
      <c r="I19" s="103">
        <v>52.86</v>
      </c>
      <c r="J19" s="103">
        <v>57.09</v>
      </c>
      <c r="K19" s="103">
        <v>61.66</v>
      </c>
      <c r="L19" s="103">
        <v>66.59</v>
      </c>
    </row>
    <row r="20" spans="1:12" ht="15">
      <c r="B20" s="97" t="s">
        <v>129</v>
      </c>
      <c r="C20" s="102">
        <v>40.49</v>
      </c>
      <c r="D20" s="103">
        <v>34.01</v>
      </c>
      <c r="E20" s="103">
        <v>39.200000000000003</v>
      </c>
      <c r="F20" s="103">
        <v>41.99</v>
      </c>
      <c r="G20" s="103">
        <v>53.02</v>
      </c>
      <c r="H20" s="103">
        <v>57.26</v>
      </c>
      <c r="I20" s="103">
        <v>61.84</v>
      </c>
      <c r="J20" s="103">
        <v>66.790000000000006</v>
      </c>
      <c r="K20" s="103">
        <v>72.13</v>
      </c>
      <c r="L20" s="103">
        <v>77.900000000000006</v>
      </c>
    </row>
    <row r="21" spans="1:12" ht="14.45" customHeight="1">
      <c r="A21" s="484" t="s">
        <v>104</v>
      </c>
      <c r="B21" s="479"/>
      <c r="C21" s="479"/>
      <c r="D21" s="479"/>
      <c r="E21" s="479"/>
      <c r="F21" s="479"/>
      <c r="G21" s="479"/>
      <c r="H21" s="479"/>
      <c r="I21" s="480"/>
    </row>
    <row r="22" spans="1:12" ht="14.45" customHeight="1">
      <c r="A22" s="82" t="s">
        <v>3</v>
      </c>
      <c r="B22" s="83" t="s">
        <v>241</v>
      </c>
      <c r="C22" s="84" t="s">
        <v>242</v>
      </c>
      <c r="D22" s="85" t="s">
        <v>242</v>
      </c>
      <c r="E22" s="86"/>
      <c r="F22" s="86"/>
      <c r="G22" s="86"/>
      <c r="H22" s="86"/>
      <c r="I22" s="86"/>
    </row>
    <row r="23" spans="1:12" ht="14.45" customHeight="1">
      <c r="A23" s="82" t="s">
        <v>5</v>
      </c>
      <c r="B23" s="464" t="s">
        <v>243</v>
      </c>
      <c r="C23" s="465"/>
      <c r="D23" s="466"/>
      <c r="E23" s="86"/>
      <c r="F23" s="86"/>
      <c r="G23" s="86"/>
      <c r="H23" s="86"/>
      <c r="I23" s="86"/>
    </row>
    <row r="24" spans="1:12" ht="14.45" customHeight="1">
      <c r="A24" s="87" t="s">
        <v>107</v>
      </c>
      <c r="B24" s="485" t="s">
        <v>244</v>
      </c>
      <c r="C24" s="485"/>
      <c r="D24" s="486"/>
      <c r="E24" s="86"/>
      <c r="F24" s="86"/>
      <c r="G24" s="86"/>
      <c r="H24" s="86"/>
      <c r="I24" s="86"/>
    </row>
    <row r="25" spans="1:12" ht="14.45" customHeight="1">
      <c r="A25" s="88" t="s">
        <v>109</v>
      </c>
      <c r="B25" s="89" t="s">
        <v>245</v>
      </c>
      <c r="C25" s="90"/>
      <c r="D25" s="91"/>
      <c r="E25" s="86"/>
      <c r="F25" s="86"/>
      <c r="G25" s="86"/>
      <c r="H25" s="86"/>
      <c r="I25" s="86"/>
    </row>
    <row r="26" spans="1:12" ht="14.45" customHeight="1">
      <c r="A26" s="88" t="s">
        <v>11</v>
      </c>
      <c r="B26" s="92" t="s">
        <v>246</v>
      </c>
      <c r="C26" s="93" t="s">
        <v>247</v>
      </c>
      <c r="D26" s="91"/>
      <c r="E26" s="86"/>
      <c r="F26" s="86"/>
      <c r="G26" s="86"/>
      <c r="H26" s="86"/>
      <c r="I26" s="86"/>
    </row>
    <row r="27" spans="1:12" ht="14.45" customHeight="1">
      <c r="A27" s="88" t="s">
        <v>112</v>
      </c>
      <c r="B27" s="464" t="s">
        <v>248</v>
      </c>
      <c r="C27" s="465"/>
      <c r="D27" s="466"/>
      <c r="E27" s="86"/>
      <c r="F27" s="86"/>
      <c r="G27" s="86"/>
      <c r="H27" s="86"/>
      <c r="I27" s="86"/>
    </row>
    <row r="28" spans="1:12" ht="14.45" customHeight="1">
      <c r="A28" s="467" t="s">
        <v>13</v>
      </c>
      <c r="B28" s="469" t="s">
        <v>249</v>
      </c>
      <c r="C28" s="470"/>
      <c r="D28" s="470"/>
      <c r="E28" s="470"/>
      <c r="F28" s="470"/>
      <c r="G28" s="470"/>
      <c r="H28" s="470"/>
      <c r="I28" s="471"/>
    </row>
    <row r="29" spans="1:12" ht="14.45" customHeight="1">
      <c r="A29" s="467"/>
      <c r="B29" s="472"/>
      <c r="C29" s="473"/>
      <c r="D29" s="473"/>
      <c r="E29" s="473"/>
      <c r="F29" s="473"/>
      <c r="G29" s="473"/>
      <c r="H29" s="473"/>
      <c r="I29" s="474"/>
    </row>
    <row r="30" spans="1:12" ht="14.45" customHeight="1">
      <c r="A30" s="468"/>
      <c r="B30" s="475"/>
      <c r="C30" s="476"/>
      <c r="D30" s="476"/>
      <c r="E30" s="476"/>
      <c r="F30" s="476"/>
      <c r="G30" s="476"/>
      <c r="H30" s="476"/>
      <c r="I30" s="477"/>
    </row>
    <row r="32" spans="1:12" ht="14.45" customHeight="1">
      <c r="A32" s="462" t="s">
        <v>115</v>
      </c>
      <c r="B32" s="463"/>
      <c r="C32" s="463"/>
      <c r="D32" s="463"/>
      <c r="E32" s="463"/>
      <c r="F32" s="463"/>
      <c r="G32" s="463"/>
      <c r="H32" s="463"/>
      <c r="I32" s="463"/>
      <c r="J32" s="463"/>
      <c r="K32" s="463"/>
      <c r="L32" s="463"/>
    </row>
    <row r="33" spans="1:12" ht="14.45" customHeight="1">
      <c r="B33" s="94"/>
      <c r="C33" s="95" t="s">
        <v>116</v>
      </c>
      <c r="D33" s="96" t="s">
        <v>117</v>
      </c>
      <c r="E33" s="96" t="s">
        <v>118</v>
      </c>
      <c r="F33" s="96" t="s">
        <v>119</v>
      </c>
      <c r="G33" s="96" t="s">
        <v>120</v>
      </c>
      <c r="H33" s="96" t="s">
        <v>121</v>
      </c>
      <c r="I33" s="96" t="s">
        <v>122</v>
      </c>
      <c r="J33" s="96" t="s">
        <v>123</v>
      </c>
      <c r="K33" s="96" t="s">
        <v>124</v>
      </c>
      <c r="L33" s="96" t="s">
        <v>156</v>
      </c>
    </row>
    <row r="34" spans="1:12" ht="14.45" customHeight="1">
      <c r="B34" s="97" t="s">
        <v>125</v>
      </c>
      <c r="C34" s="98">
        <v>47028</v>
      </c>
      <c r="D34" s="99">
        <v>52446</v>
      </c>
      <c r="E34" s="99">
        <v>60580</v>
      </c>
      <c r="F34" s="99">
        <v>61896</v>
      </c>
      <c r="G34" s="99">
        <v>63121</v>
      </c>
      <c r="H34" s="99">
        <v>68171</v>
      </c>
      <c r="I34" s="99">
        <v>73624</v>
      </c>
      <c r="J34" s="99">
        <v>79514</v>
      </c>
      <c r="K34" s="99">
        <v>85875</v>
      </c>
      <c r="L34" s="99">
        <v>92745</v>
      </c>
    </row>
    <row r="35" spans="1:12" ht="14.45" customHeight="1">
      <c r="B35" s="97" t="s">
        <v>126</v>
      </c>
      <c r="C35" s="100">
        <v>7999</v>
      </c>
      <c r="D35" s="101">
        <v>8892</v>
      </c>
      <c r="E35" s="101">
        <v>10143</v>
      </c>
      <c r="F35" s="101">
        <v>10282</v>
      </c>
      <c r="G35" s="101">
        <v>10671</v>
      </c>
      <c r="H35" s="101">
        <v>11525</v>
      </c>
      <c r="I35" s="101">
        <v>12447</v>
      </c>
      <c r="J35" s="101">
        <v>13442</v>
      </c>
      <c r="K35" s="101">
        <v>14518</v>
      </c>
      <c r="L35" s="101">
        <v>15679</v>
      </c>
    </row>
    <row r="36" spans="1:12" ht="14.45" customHeight="1">
      <c r="B36" s="97" t="s">
        <v>127</v>
      </c>
      <c r="C36" s="100">
        <v>11626</v>
      </c>
      <c r="D36" s="101">
        <v>12857</v>
      </c>
      <c r="E36" s="101">
        <v>14147</v>
      </c>
      <c r="F36" s="101">
        <v>14659</v>
      </c>
      <c r="G36" s="101">
        <v>14843</v>
      </c>
      <c r="H36" s="101">
        <v>15734</v>
      </c>
      <c r="I36" s="101">
        <v>16678</v>
      </c>
      <c r="J36" s="101">
        <v>17678</v>
      </c>
      <c r="K36" s="101">
        <v>18739</v>
      </c>
      <c r="L36" s="101">
        <v>19863</v>
      </c>
    </row>
    <row r="37" spans="1:12" ht="14.45" customHeight="1">
      <c r="B37" s="97" t="s">
        <v>128</v>
      </c>
      <c r="C37" s="102">
        <v>34.03</v>
      </c>
      <c r="D37" s="103">
        <v>37.79</v>
      </c>
      <c r="E37" s="103">
        <v>43.07</v>
      </c>
      <c r="F37" s="103">
        <v>43.74</v>
      </c>
      <c r="G37" s="103">
        <v>45.32</v>
      </c>
      <c r="H37" s="103">
        <v>48.95</v>
      </c>
      <c r="I37" s="103">
        <v>52.86</v>
      </c>
      <c r="J37" s="103">
        <v>57.09</v>
      </c>
      <c r="K37" s="103">
        <v>61.66</v>
      </c>
      <c r="L37" s="103">
        <v>66.59</v>
      </c>
    </row>
    <row r="38" spans="1:12" ht="13.5" customHeight="1">
      <c r="B38" s="97" t="s">
        <v>129</v>
      </c>
      <c r="C38" s="102">
        <v>40.49</v>
      </c>
      <c r="D38" s="103">
        <v>34.01</v>
      </c>
      <c r="E38" s="103">
        <v>39.200000000000003</v>
      </c>
      <c r="F38" s="103">
        <v>41.99</v>
      </c>
      <c r="G38" s="103">
        <v>53.02</v>
      </c>
      <c r="H38" s="103">
        <v>57.26</v>
      </c>
      <c r="I38" s="103">
        <v>61.84</v>
      </c>
      <c r="J38" s="103">
        <v>66.790000000000006</v>
      </c>
      <c r="K38" s="103">
        <v>72.13</v>
      </c>
      <c r="L38" s="103">
        <v>77.900000000000006</v>
      </c>
    </row>
    <row r="39" spans="1:12" ht="13.5" customHeight="1">
      <c r="B39" s="104"/>
      <c r="C39" s="105"/>
      <c r="D39" s="106"/>
      <c r="E39" s="106"/>
      <c r="F39" s="106"/>
      <c r="G39" s="106"/>
      <c r="H39" s="106"/>
      <c r="I39" s="106"/>
    </row>
    <row r="40" spans="1:12" ht="13.5" customHeight="1">
      <c r="B40" s="487" t="s">
        <v>143</v>
      </c>
      <c r="C40" s="488">
        <v>4</v>
      </c>
      <c r="D40" s="490" t="s">
        <v>250</v>
      </c>
      <c r="E40" s="490"/>
      <c r="F40" s="490"/>
      <c r="G40" s="490"/>
      <c r="H40" s="490"/>
      <c r="I40" s="490"/>
    </row>
    <row r="41" spans="1:12" ht="13.5" customHeight="1">
      <c r="B41" s="487"/>
      <c r="C41" s="489"/>
      <c r="D41" s="491"/>
      <c r="E41" s="491"/>
      <c r="F41" s="491"/>
      <c r="G41" s="491"/>
      <c r="H41" s="491"/>
      <c r="I41" s="491"/>
    </row>
    <row r="42" spans="1:12" ht="34.5" customHeight="1">
      <c r="B42" s="107" t="s">
        <v>144</v>
      </c>
      <c r="C42" s="105">
        <v>4</v>
      </c>
      <c r="D42" s="491" t="s">
        <v>251</v>
      </c>
      <c r="E42" s="491"/>
      <c r="F42" s="491"/>
      <c r="G42" s="491"/>
      <c r="H42" s="491"/>
      <c r="I42" s="491"/>
    </row>
    <row r="43" spans="1:12" ht="34.5" customHeight="1">
      <c r="B43" s="107" t="s">
        <v>145</v>
      </c>
      <c r="C43" s="105">
        <v>5</v>
      </c>
      <c r="D43" s="490" t="s">
        <v>252</v>
      </c>
      <c r="E43" s="490"/>
      <c r="F43" s="490"/>
      <c r="G43" s="490"/>
      <c r="H43" s="490"/>
      <c r="I43" s="490"/>
    </row>
    <row r="45" spans="1:12" ht="15">
      <c r="A45" s="478" t="s">
        <v>146</v>
      </c>
      <c r="B45" s="479"/>
      <c r="C45" s="479"/>
      <c r="D45" s="479"/>
      <c r="E45" s="479"/>
      <c r="F45" s="479"/>
      <c r="G45" s="479"/>
      <c r="H45" s="479"/>
      <c r="I45" s="480"/>
    </row>
    <row r="47" spans="1:12" ht="15">
      <c r="A47" s="108" t="s">
        <v>253</v>
      </c>
      <c r="B47" s="109" t="s">
        <v>254</v>
      </c>
    </row>
    <row r="48" spans="1:12" ht="15">
      <c r="A48" s="81" t="s">
        <v>255</v>
      </c>
      <c r="B48" s="81" t="s">
        <v>256</v>
      </c>
    </row>
    <row r="49" spans="1:2" ht="15">
      <c r="A49" s="81" t="s">
        <v>257</v>
      </c>
      <c r="B49" s="81" t="s">
        <v>258</v>
      </c>
    </row>
    <row r="50" spans="1:2" ht="15">
      <c r="A50" s="81" t="s">
        <v>259</v>
      </c>
      <c r="B50" s="81" t="s">
        <v>260</v>
      </c>
    </row>
    <row r="51" spans="1:2" ht="15">
      <c r="A51" s="81" t="s">
        <v>261</v>
      </c>
      <c r="B51" s="110"/>
    </row>
  </sheetData>
  <mergeCells count="21">
    <mergeCell ref="A45:I45"/>
    <mergeCell ref="A1:I1"/>
    <mergeCell ref="A3:I3"/>
    <mergeCell ref="B5:D5"/>
    <mergeCell ref="B6:D6"/>
    <mergeCell ref="B9:D9"/>
    <mergeCell ref="A10:A12"/>
    <mergeCell ref="B10:I12"/>
    <mergeCell ref="B40:B41"/>
    <mergeCell ref="C40:C41"/>
    <mergeCell ref="A21:I21"/>
    <mergeCell ref="B23:D23"/>
    <mergeCell ref="B24:D24"/>
    <mergeCell ref="D40:I41"/>
    <mergeCell ref="D42:I42"/>
    <mergeCell ref="D43:I43"/>
    <mergeCell ref="A14:L14"/>
    <mergeCell ref="B27:D27"/>
    <mergeCell ref="A28:A30"/>
    <mergeCell ref="B28:I30"/>
    <mergeCell ref="A32:L3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92973-A71A-4BBD-9ED8-EDB2BC70B9A5}">
  <dimension ref="A1:Y54"/>
  <sheetViews>
    <sheetView workbookViewId="0">
      <selection activeCell="D50" sqref="D50"/>
    </sheetView>
  </sheetViews>
  <sheetFormatPr defaultColWidth="9.140625" defaultRowHeight="14.45" customHeight="1"/>
  <cols>
    <col min="1" max="1" width="36.5703125" style="81" bestFit="1" customWidth="1"/>
    <col min="2" max="2" width="38.42578125" style="81" customWidth="1"/>
    <col min="3" max="3" width="16.140625" style="81" customWidth="1"/>
    <col min="4" max="4" width="45" style="81" customWidth="1"/>
    <col min="5" max="5" width="9" style="81" bestFit="1" customWidth="1"/>
    <col min="6" max="6" width="12.7109375" style="81" customWidth="1"/>
    <col min="7" max="7" width="11" style="81" customWidth="1"/>
    <col min="8" max="23" width="9.140625" style="81" customWidth="1"/>
    <col min="24" max="24" width="8.85546875" style="81" customWidth="1"/>
    <col min="25" max="25" width="14.7109375" style="81" customWidth="1"/>
    <col min="26" max="26" width="9.140625" style="81" customWidth="1"/>
    <col min="27" max="16384" width="9.140625" style="81"/>
  </cols>
  <sheetData>
    <row r="1" spans="1:12" ht="14.45" customHeight="1">
      <c r="A1" s="481" t="s">
        <v>103</v>
      </c>
      <c r="B1" s="482"/>
      <c r="C1" s="482"/>
      <c r="D1" s="482"/>
      <c r="E1" s="482"/>
      <c r="F1" s="482"/>
      <c r="G1" s="482"/>
      <c r="H1" s="482"/>
      <c r="I1" s="483"/>
    </row>
    <row r="3" spans="1:12" ht="14.45" customHeight="1">
      <c r="A3" s="484" t="s">
        <v>104</v>
      </c>
      <c r="B3" s="479"/>
      <c r="C3" s="479"/>
      <c r="D3" s="479"/>
      <c r="E3" s="479"/>
      <c r="F3" s="479"/>
      <c r="G3" s="479"/>
      <c r="H3" s="479"/>
      <c r="I3" s="480"/>
    </row>
    <row r="4" spans="1:12" ht="15">
      <c r="A4" s="82" t="s">
        <v>3</v>
      </c>
      <c r="B4" s="84" t="s">
        <v>262</v>
      </c>
      <c r="C4" s="84" t="s">
        <v>242</v>
      </c>
      <c r="D4" s="85" t="s">
        <v>242</v>
      </c>
      <c r="E4" s="86"/>
      <c r="F4" s="86"/>
      <c r="G4" s="86"/>
      <c r="H4" s="86"/>
      <c r="I4" s="86"/>
    </row>
    <row r="5" spans="1:12" ht="14.45" customHeight="1">
      <c r="A5" s="82" t="s">
        <v>5</v>
      </c>
      <c r="B5" s="464" t="s">
        <v>243</v>
      </c>
      <c r="C5" s="465"/>
      <c r="D5" s="466"/>
      <c r="E5" s="86"/>
      <c r="F5" s="86"/>
      <c r="G5" s="86"/>
      <c r="H5" s="86"/>
      <c r="I5" s="86"/>
    </row>
    <row r="6" spans="1:12" ht="34.5" customHeight="1">
      <c r="A6" s="87" t="s">
        <v>107</v>
      </c>
      <c r="B6" s="496" t="s">
        <v>263</v>
      </c>
      <c r="C6" s="496"/>
      <c r="D6" s="497"/>
      <c r="E6" s="86"/>
      <c r="F6" s="86"/>
      <c r="G6" s="86"/>
      <c r="H6" s="86"/>
      <c r="I6" s="86"/>
    </row>
    <row r="7" spans="1:12" ht="15">
      <c r="A7" s="88" t="s">
        <v>109</v>
      </c>
      <c r="B7" s="92" t="s">
        <v>264</v>
      </c>
      <c r="C7" s="90"/>
      <c r="D7" s="91"/>
      <c r="E7" s="86"/>
      <c r="F7" s="86"/>
      <c r="G7" s="86"/>
      <c r="H7" s="86"/>
      <c r="I7" s="86"/>
    </row>
    <row r="8" spans="1:12" ht="15">
      <c r="A8" s="88" t="s">
        <v>11</v>
      </c>
      <c r="B8" s="92" t="s">
        <v>265</v>
      </c>
      <c r="C8" s="90"/>
      <c r="D8" s="91"/>
      <c r="E8" s="86"/>
      <c r="F8" s="86"/>
      <c r="G8" s="86"/>
      <c r="H8" s="86"/>
      <c r="I8" s="86"/>
    </row>
    <row r="9" spans="1:12" ht="14.45" customHeight="1">
      <c r="A9" s="88" t="s">
        <v>112</v>
      </c>
      <c r="B9" s="464" t="s">
        <v>266</v>
      </c>
      <c r="C9" s="465"/>
      <c r="D9" s="466"/>
      <c r="E9" s="86"/>
      <c r="F9" s="86"/>
      <c r="G9" s="86"/>
      <c r="H9" s="86"/>
      <c r="I9" s="86"/>
    </row>
    <row r="10" spans="1:12" ht="15">
      <c r="A10" s="467" t="s">
        <v>13</v>
      </c>
      <c r="B10" s="498" t="s">
        <v>267</v>
      </c>
      <c r="C10" s="499"/>
      <c r="D10" s="499"/>
      <c r="E10" s="499"/>
      <c r="F10" s="499"/>
      <c r="G10" s="499"/>
      <c r="H10" s="499"/>
      <c r="I10" s="500"/>
    </row>
    <row r="11" spans="1:12" ht="14.45" customHeight="1">
      <c r="A11" s="467"/>
      <c r="B11" s="501"/>
      <c r="C11" s="502"/>
      <c r="D11" s="502"/>
      <c r="E11" s="502"/>
      <c r="F11" s="502"/>
      <c r="G11" s="502"/>
      <c r="H11" s="502"/>
      <c r="I11" s="503"/>
    </row>
    <row r="12" spans="1:12" ht="14.45" customHeight="1">
      <c r="A12" s="468"/>
      <c r="B12" s="504"/>
      <c r="C12" s="505"/>
      <c r="D12" s="505"/>
      <c r="E12" s="505"/>
      <c r="F12" s="505"/>
      <c r="G12" s="505"/>
      <c r="H12" s="505"/>
      <c r="I12" s="506"/>
    </row>
    <row r="14" spans="1:12" ht="14.45" customHeight="1">
      <c r="A14" s="462" t="s">
        <v>115</v>
      </c>
      <c r="B14" s="463"/>
      <c r="C14" s="463"/>
      <c r="D14" s="463"/>
      <c r="E14" s="463"/>
      <c r="F14" s="463"/>
      <c r="G14" s="463"/>
      <c r="H14" s="463"/>
      <c r="I14" s="463"/>
      <c r="J14" s="463"/>
      <c r="K14" s="463"/>
      <c r="L14" s="463"/>
    </row>
    <row r="15" spans="1:12" ht="15.75">
      <c r="B15" s="94"/>
      <c r="C15" s="111" t="s">
        <v>116</v>
      </c>
      <c r="D15" s="112" t="s">
        <v>117</v>
      </c>
      <c r="E15" s="112" t="s">
        <v>118</v>
      </c>
      <c r="F15" s="112" t="s">
        <v>119</v>
      </c>
      <c r="G15" s="112" t="s">
        <v>120</v>
      </c>
      <c r="H15" s="112" t="s">
        <v>121</v>
      </c>
      <c r="I15" s="112" t="s">
        <v>122</v>
      </c>
      <c r="J15" s="112" t="s">
        <v>123</v>
      </c>
      <c r="K15" s="112" t="s">
        <v>124</v>
      </c>
      <c r="L15" s="112" t="s">
        <v>156</v>
      </c>
    </row>
    <row r="16" spans="1:12" ht="15">
      <c r="B16" s="97" t="s">
        <v>125</v>
      </c>
      <c r="C16" s="113">
        <v>49272.78</v>
      </c>
      <c r="D16" s="114">
        <v>60668.09</v>
      </c>
      <c r="E16" s="115">
        <v>70936.850000000006</v>
      </c>
      <c r="F16" s="116">
        <v>70881</v>
      </c>
      <c r="G16" s="115">
        <v>75323.34</v>
      </c>
      <c r="H16" s="115">
        <f>_xlfn.FORECAST.LINEAR(2026,C16:G16,{2021,2022,2023,2024,2025})</f>
        <v>84110.620999999344</v>
      </c>
      <c r="I16" s="115">
        <f>_xlfn.FORECAST.LINEAR(2026,D16:H16,{2021,2022,2023,2024,2025})</f>
        <v>87765.445800000802</v>
      </c>
      <c r="J16" s="115">
        <f>_xlfn.FORECAST.LINEAR(2026,E16:I16,{2021,2022,2023,2024,2025})</f>
        <v>91869.495140001178</v>
      </c>
      <c r="K16" s="115">
        <f>_xlfn.FORECAST.LINEAR(2026,F16:J16,{2021,2022,2023,2024,2025})</f>
        <v>98315.709212001413</v>
      </c>
      <c r="L16" s="115">
        <f>_xlfn.FORECAST.LINEAR(2026,G16:K16,{2021,2022,2023,2024,2025})</f>
        <v>103600.00599960238</v>
      </c>
    </row>
    <row r="17" spans="1:12" ht="15">
      <c r="B17" s="97" t="s">
        <v>126</v>
      </c>
      <c r="C17" s="117">
        <v>13383</v>
      </c>
      <c r="D17" s="115">
        <v>15503</v>
      </c>
      <c r="E17" s="115">
        <v>19477</v>
      </c>
      <c r="F17" s="118">
        <v>20751</v>
      </c>
      <c r="G17" s="118">
        <v>35052</v>
      </c>
      <c r="H17" s="115">
        <f>_xlfn.FORECAST.LINEAR(2026,C17:G17,{2021,2022,2023,2024,2025})</f>
        <v>35409</v>
      </c>
      <c r="I17" s="115">
        <f>_xlfn.FORECAST.LINEAR(2026,D17:H17,{2021,2022,2023,2024,2025})</f>
        <v>41854.5</v>
      </c>
      <c r="J17" s="115">
        <f>_xlfn.FORECAST.LINEAR(2026,E17:I17,{2021,2022,2023,2024,2025})</f>
        <v>48332.599999999627</v>
      </c>
      <c r="K17" s="115">
        <f>_xlfn.FORECAST.LINEAR(2026,F17:J17,{2021,2022,2023,2024,2025})</f>
        <v>54869.529999999329</v>
      </c>
      <c r="L17" s="115">
        <f>_xlfn.FORECAST.LINEAR(2026,G17:K17,{2021,2022,2023,2024,2025})</f>
        <v>58871.124000001699</v>
      </c>
    </row>
    <row r="18" spans="1:12" ht="15">
      <c r="B18" s="97" t="s">
        <v>127</v>
      </c>
      <c r="C18" s="119">
        <v>18711</v>
      </c>
      <c r="D18" s="120">
        <v>22355</v>
      </c>
      <c r="E18" s="116">
        <v>27513</v>
      </c>
      <c r="F18" s="116">
        <v>27049</v>
      </c>
      <c r="G18" s="115">
        <v>27624</v>
      </c>
      <c r="H18" s="115">
        <f>_xlfn.FORECAST.LINEAR(2026,C18:G18,{2021,202,2023,2024,2025})</f>
        <v>25231.298305301916</v>
      </c>
      <c r="I18" s="115">
        <f>_xlfn.FORECAST.LINEAR(2026,D18:H18,{2021,202,2023,2024,2025})</f>
        <v>25562.964620780596</v>
      </c>
      <c r="J18" s="115">
        <f>_xlfn.FORECAST.LINEAR(2026,E18:I18,{2021,202,2023,2024,2025})</f>
        <v>26481.248710164858</v>
      </c>
      <c r="K18" s="115">
        <f>_xlfn.FORECAST.LINEAR(2026,F18:J18,{2021,202,2023,2024,2025})</f>
        <v>26078.57056250692</v>
      </c>
      <c r="L18" s="115">
        <f>_xlfn.FORECAST.LINEAR(2026,G18:K18,{2021,202,2023,2024,2025})</f>
        <v>26438.093947906018</v>
      </c>
    </row>
    <row r="19" spans="1:12" ht="15">
      <c r="B19" s="97" t="s">
        <v>128</v>
      </c>
      <c r="C19" s="121">
        <v>10.69</v>
      </c>
      <c r="D19" s="122">
        <v>12.37</v>
      </c>
      <c r="E19" s="115">
        <v>15.44</v>
      </c>
      <c r="F19" s="115">
        <v>16.39</v>
      </c>
      <c r="G19" s="115">
        <v>27.79</v>
      </c>
      <c r="H19" s="115">
        <f>_xlfn.FORECAST.LINEAR(2026,C19:G19,{2021,2022,2023,2024,2025})</f>
        <v>28.002000000000407</v>
      </c>
      <c r="I19" s="115">
        <f>_xlfn.FORECAST.LINEAR(2026,D19:H19,{2021,2022,2023,2024,2025})</f>
        <v>33.082599999999729</v>
      </c>
      <c r="J19" s="115">
        <f>_xlfn.FORECAST.LINEAR(2026,E19:I19,{2021,2022,2023,2024,2025})</f>
        <v>38.210080000000744</v>
      </c>
      <c r="K19" s="115">
        <f>_xlfn.FORECAST.LINEAR(2026,F19:J19,{2021,2022,2023,2024,2025})</f>
        <v>43.374764000000141</v>
      </c>
      <c r="L19" s="115">
        <f>_xlfn.FORECAST.LINEAR(2026,G19:K19,{2021,2022,2023,2024,2025})</f>
        <v>46.505171199998586</v>
      </c>
    </row>
    <row r="20" spans="1:12" ht="15">
      <c r="B20" s="97" t="s">
        <v>129</v>
      </c>
      <c r="C20" s="117">
        <v>10.75</v>
      </c>
      <c r="D20" s="115">
        <v>11.5</v>
      </c>
      <c r="E20" s="115">
        <v>15.5</v>
      </c>
      <c r="F20" s="115">
        <v>13.75</v>
      </c>
      <c r="G20" s="115">
        <f>_xlfn.FORECAST.LINEAR(2025,C20:F20,{2021,2022,2023,2024})</f>
        <v>16.125</v>
      </c>
      <c r="H20" s="115">
        <f>_xlfn.FORECAST.LINEAR(2025,D20:G20,{2021,2022,2023,2024})</f>
        <v>17.25</v>
      </c>
      <c r="I20" s="115">
        <f>_xlfn.FORECAST.LINEAR(2025,E20:H20,{2021,2022,2023,2024})</f>
        <v>17.5625</v>
      </c>
      <c r="J20" s="115">
        <f>_xlfn.FORECAST.LINEAR(2025,F20:I20,{2021,2022,2023,2024})</f>
        <v>19.3125</v>
      </c>
      <c r="K20" s="115">
        <f>_xlfn.FORECAST.LINEAR(2025,G20:J20,{2021,2022,2023,2024})</f>
        <v>20.03125</v>
      </c>
      <c r="L20" s="115">
        <f>_xlfn.FORECAST.LINEAR(2025,H20:K20,{2021,2022,2023,2024})</f>
        <v>21.0625</v>
      </c>
    </row>
    <row r="22" spans="1:12" ht="14.45" customHeight="1">
      <c r="A22" s="494" t="s">
        <v>131</v>
      </c>
      <c r="B22" s="495"/>
      <c r="C22" s="495"/>
      <c r="D22" s="495"/>
      <c r="E22" s="495"/>
      <c r="F22" s="495"/>
      <c r="G22" s="495"/>
      <c r="H22" s="495"/>
      <c r="I22" s="495"/>
      <c r="J22" s="495"/>
      <c r="K22" s="495"/>
      <c r="L22" s="495"/>
    </row>
    <row r="23" spans="1:12" ht="15">
      <c r="B23" s="97" t="s">
        <v>132</v>
      </c>
      <c r="C23" s="123">
        <v>0.218</v>
      </c>
      <c r="D23" s="124">
        <v>0.24399999999999999</v>
      </c>
      <c r="E23" s="124">
        <v>0.27750000000000002</v>
      </c>
      <c r="F23" s="124">
        <v>0.27450000000000002</v>
      </c>
      <c r="G23" s="124">
        <v>0.49609999999999999</v>
      </c>
    </row>
    <row r="24" spans="1:12" ht="15">
      <c r="B24" s="97" t="s">
        <v>92</v>
      </c>
      <c r="C24" s="125">
        <v>18.3</v>
      </c>
      <c r="D24" s="126">
        <v>19.8</v>
      </c>
      <c r="E24" s="126">
        <v>24.4</v>
      </c>
      <c r="F24" s="126">
        <v>24.6</v>
      </c>
      <c r="G24" s="126">
        <v>26</v>
      </c>
    </row>
    <row r="25" spans="1:12" ht="15">
      <c r="B25" s="97" t="s">
        <v>93</v>
      </c>
      <c r="C25" s="125">
        <v>4.0999999999999996</v>
      </c>
      <c r="D25" s="126">
        <v>4.8</v>
      </c>
      <c r="E25" s="126">
        <v>6.7</v>
      </c>
      <c r="F25" s="126">
        <v>7.2</v>
      </c>
      <c r="G25" s="126">
        <v>6.8</v>
      </c>
    </row>
    <row r="26" spans="1:12" ht="15">
      <c r="B26" s="97" t="s">
        <v>95</v>
      </c>
      <c r="C26" s="125">
        <v>12.8</v>
      </c>
      <c r="D26" s="126">
        <v>13.3</v>
      </c>
      <c r="E26" s="126">
        <v>16.7</v>
      </c>
      <c r="F26" s="126">
        <v>17.3</v>
      </c>
      <c r="G26" s="126">
        <v>17.8</v>
      </c>
    </row>
    <row r="27" spans="1:12" ht="15">
      <c r="B27" s="97" t="s">
        <v>133</v>
      </c>
      <c r="C27" s="127">
        <v>4.07E-2</v>
      </c>
      <c r="D27" s="128">
        <v>5.96E-2</v>
      </c>
      <c r="E27" s="128">
        <v>2.07E-2</v>
      </c>
      <c r="F27" s="128">
        <v>3.1699999999999999E-2</v>
      </c>
      <c r="G27" s="128">
        <v>3.44E-2</v>
      </c>
    </row>
    <row r="28" spans="1:12" ht="15">
      <c r="B28" s="97" t="s">
        <v>134</v>
      </c>
      <c r="C28" s="125">
        <v>0.45</v>
      </c>
      <c r="D28" s="129">
        <v>0.4</v>
      </c>
      <c r="E28" s="126">
        <v>0.43</v>
      </c>
      <c r="F28" s="129">
        <v>0.4</v>
      </c>
      <c r="G28" s="129">
        <v>0.4</v>
      </c>
    </row>
    <row r="29" spans="1:12" ht="15">
      <c r="B29" s="94"/>
      <c r="C29" s="94"/>
      <c r="D29" s="94"/>
      <c r="E29" s="94"/>
      <c r="F29" s="94"/>
      <c r="G29" s="94"/>
    </row>
    <row r="30" spans="1:12" ht="15">
      <c r="B30" s="97" t="s">
        <v>201</v>
      </c>
      <c r="C30" s="130">
        <v>39.85</v>
      </c>
      <c r="D30" s="131">
        <v>37.08</v>
      </c>
      <c r="E30" s="131">
        <v>38.74</v>
      </c>
      <c r="F30" s="131">
        <v>37.71</v>
      </c>
      <c r="G30" s="131">
        <v>37.85</v>
      </c>
    </row>
    <row r="31" spans="1:12" ht="15">
      <c r="B31" s="97" t="s">
        <v>207</v>
      </c>
      <c r="C31" s="125">
        <v>57.21</v>
      </c>
      <c r="D31" s="126">
        <v>56.17</v>
      </c>
      <c r="E31" s="126">
        <v>61.61</v>
      </c>
      <c r="F31" s="126">
        <v>61.78</v>
      </c>
      <c r="G31" s="126">
        <v>58.77</v>
      </c>
    </row>
    <row r="32" spans="1:12" ht="15">
      <c r="B32" s="97" t="s">
        <v>209</v>
      </c>
      <c r="C32" s="125">
        <v>36</v>
      </c>
      <c r="D32" s="126">
        <v>31</v>
      </c>
      <c r="E32" s="126">
        <v>20</v>
      </c>
      <c r="F32" s="126">
        <v>38</v>
      </c>
      <c r="G32" s="126">
        <v>125</v>
      </c>
    </row>
    <row r="33" spans="1:25" ht="15">
      <c r="B33" s="97" t="s">
        <v>268</v>
      </c>
      <c r="C33" s="125">
        <v>1089.6400000000001</v>
      </c>
      <c r="D33" s="126">
        <v>995.62</v>
      </c>
      <c r="E33" s="126">
        <v>1173.21</v>
      </c>
      <c r="F33" s="126">
        <v>1439.45</v>
      </c>
      <c r="G33" s="115" t="s">
        <v>176</v>
      </c>
    </row>
    <row r="34" spans="1:25" ht="15">
      <c r="B34" s="97" t="s">
        <v>215</v>
      </c>
      <c r="C34" s="125">
        <v>131.35</v>
      </c>
      <c r="D34" s="126">
        <v>143.65</v>
      </c>
      <c r="E34" s="126">
        <v>161.36000000000001</v>
      </c>
      <c r="F34" s="126">
        <v>170.47</v>
      </c>
      <c r="G34" s="115" t="s">
        <v>176</v>
      </c>
    </row>
    <row r="35" spans="1:25" ht="15">
      <c r="B35" s="97" t="s">
        <v>216</v>
      </c>
      <c r="C35" s="125" t="s">
        <v>242</v>
      </c>
      <c r="D35" s="126" t="s">
        <v>242</v>
      </c>
      <c r="E35" s="126" t="s">
        <v>242</v>
      </c>
      <c r="F35" s="126" t="s">
        <v>242</v>
      </c>
      <c r="G35" s="126" t="s">
        <v>242</v>
      </c>
    </row>
    <row r="37" spans="1:25" ht="14.45" customHeight="1">
      <c r="A37" s="478" t="s">
        <v>141</v>
      </c>
      <c r="B37" s="479"/>
      <c r="C37" s="479"/>
      <c r="D37" s="492"/>
      <c r="E37" s="492"/>
      <c r="F37" s="492"/>
      <c r="G37" s="492"/>
      <c r="H37" s="492"/>
      <c r="I37" s="493"/>
    </row>
    <row r="38" spans="1:25" ht="54" customHeight="1">
      <c r="B38" s="132" t="s">
        <v>142</v>
      </c>
      <c r="C38" s="133">
        <v>4</v>
      </c>
      <c r="D38" s="134" t="s">
        <v>269</v>
      </c>
      <c r="E38" s="135"/>
      <c r="F38" s="136"/>
      <c r="G38" s="136"/>
      <c r="H38" s="136"/>
      <c r="I38" s="136"/>
      <c r="J38" s="136"/>
      <c r="K38" s="136"/>
      <c r="L38" s="136"/>
      <c r="M38" s="136"/>
      <c r="N38" s="136"/>
      <c r="O38" s="136"/>
      <c r="P38" s="136"/>
      <c r="Q38" s="136"/>
    </row>
    <row r="39" spans="1:25" ht="73.5" customHeight="1">
      <c r="B39" s="132" t="s">
        <v>143</v>
      </c>
      <c r="C39" s="137">
        <v>3</v>
      </c>
      <c r="D39" s="138" t="s">
        <v>270</v>
      </c>
      <c r="E39" s="139"/>
      <c r="F39" s="139"/>
      <c r="G39" s="139"/>
      <c r="H39" s="139"/>
      <c r="I39" s="139"/>
      <c r="J39" s="139"/>
      <c r="K39" s="139"/>
      <c r="L39" s="139"/>
      <c r="M39" s="139"/>
      <c r="N39" s="139"/>
      <c r="O39" s="139"/>
      <c r="P39" s="139"/>
      <c r="Q39" s="139"/>
      <c r="R39" s="139"/>
      <c r="S39" s="139"/>
      <c r="T39" s="139"/>
      <c r="U39" s="139"/>
      <c r="V39" s="139"/>
      <c r="W39" s="139"/>
      <c r="X39" s="139"/>
      <c r="Y39" s="139"/>
    </row>
    <row r="40" spans="1:25" ht="65.25" customHeight="1">
      <c r="B40" s="132" t="s">
        <v>144</v>
      </c>
      <c r="C40" s="137">
        <v>3.5</v>
      </c>
      <c r="D40" s="138" t="s">
        <v>271</v>
      </c>
      <c r="E40" s="140"/>
      <c r="F40" s="140"/>
      <c r="G40" s="140"/>
      <c r="H40" s="140"/>
      <c r="I40" s="140"/>
      <c r="J40" s="140"/>
      <c r="K40" s="140"/>
      <c r="L40" s="140"/>
      <c r="M40" s="140"/>
      <c r="N40" s="140"/>
      <c r="O40" s="140"/>
      <c r="P40" s="140"/>
      <c r="Q40" s="140"/>
      <c r="R40" s="140"/>
      <c r="S40" s="140"/>
      <c r="T40" s="140"/>
      <c r="U40" s="140"/>
      <c r="V40" s="140"/>
      <c r="W40" s="140"/>
      <c r="X40" s="140"/>
      <c r="Y40" s="140"/>
    </row>
    <row r="41" spans="1:25" ht="66.75" customHeight="1">
      <c r="B41" s="132" t="s">
        <v>145</v>
      </c>
      <c r="C41" s="137">
        <v>4</v>
      </c>
      <c r="D41" s="138" t="s">
        <v>272</v>
      </c>
      <c r="E41" s="139"/>
      <c r="F41" s="139"/>
      <c r="G41" s="139"/>
      <c r="H41" s="139"/>
      <c r="I41" s="139"/>
      <c r="J41" s="139"/>
      <c r="K41" s="139"/>
      <c r="L41" s="139"/>
      <c r="M41" s="139"/>
      <c r="N41" s="139"/>
      <c r="O41" s="139"/>
      <c r="P41" s="139"/>
      <c r="Q41" s="139"/>
      <c r="R41" s="139"/>
      <c r="S41" s="139"/>
      <c r="T41" s="139"/>
      <c r="U41" s="139"/>
      <c r="V41" s="139"/>
      <c r="W41" s="139"/>
      <c r="X41" s="139"/>
      <c r="Y41" s="139"/>
    </row>
    <row r="42" spans="1:25" ht="15"/>
    <row r="43" spans="1:25" ht="14.45" customHeight="1">
      <c r="A43" s="478" t="s">
        <v>146</v>
      </c>
      <c r="B43" s="479"/>
      <c r="C43" s="479"/>
      <c r="D43" s="479"/>
      <c r="E43" s="479"/>
      <c r="F43" s="479"/>
      <c r="G43" s="479"/>
      <c r="H43" s="479"/>
      <c r="I43" s="480"/>
    </row>
    <row r="45" spans="1:25" ht="15">
      <c r="A45" s="141" t="s">
        <v>253</v>
      </c>
      <c r="B45" s="142" t="s">
        <v>254</v>
      </c>
    </row>
    <row r="46" spans="1:25" ht="30" customHeight="1">
      <c r="A46" s="143" t="s">
        <v>273</v>
      </c>
      <c r="B46" s="144" t="s">
        <v>274</v>
      </c>
    </row>
    <row r="47" spans="1:25" ht="30">
      <c r="A47" s="145" t="s">
        <v>275</v>
      </c>
      <c r="B47" s="146" t="s">
        <v>276</v>
      </c>
    </row>
    <row r="48" spans="1:25" ht="30">
      <c r="A48" s="144" t="s">
        <v>277</v>
      </c>
      <c r="B48" s="147" t="s">
        <v>278</v>
      </c>
    </row>
    <row r="49" spans="1:2" ht="30">
      <c r="A49" s="145" t="s">
        <v>279</v>
      </c>
      <c r="B49" s="146" t="s">
        <v>280</v>
      </c>
    </row>
    <row r="50" spans="1:2" ht="45">
      <c r="A50" s="148" t="s">
        <v>281</v>
      </c>
      <c r="B50" s="144" t="s">
        <v>282</v>
      </c>
    </row>
    <row r="51" spans="1:2" ht="30">
      <c r="A51" s="149" t="s">
        <v>283</v>
      </c>
      <c r="B51" s="150"/>
    </row>
    <row r="52" spans="1:2" ht="30">
      <c r="A52" s="151" t="s">
        <v>284</v>
      </c>
      <c r="B52" s="152"/>
    </row>
    <row r="53" spans="1:2" ht="30">
      <c r="A53" s="153" t="s">
        <v>285</v>
      </c>
      <c r="B53" s="154"/>
    </row>
    <row r="54" spans="1:2" ht="15"/>
  </sheetData>
  <mergeCells count="11">
    <mergeCell ref="A37:I37"/>
    <mergeCell ref="A43:I43"/>
    <mergeCell ref="A22:L22"/>
    <mergeCell ref="A14:L14"/>
    <mergeCell ref="A1:I1"/>
    <mergeCell ref="A3:I3"/>
    <mergeCell ref="B5:D5"/>
    <mergeCell ref="B6:D6"/>
    <mergeCell ref="B9:D9"/>
    <mergeCell ref="B10:I12"/>
    <mergeCell ref="A10:A1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F64C-571A-43EE-876B-D6A79F5CB9A5}">
  <dimension ref="A1:L54"/>
  <sheetViews>
    <sheetView workbookViewId="0">
      <selection activeCell="B2" sqref="B1:B1048576"/>
    </sheetView>
  </sheetViews>
  <sheetFormatPr defaultColWidth="9.140625" defaultRowHeight="14.45" customHeight="1"/>
  <cols>
    <col min="1" max="1" width="89.7109375" style="81" bestFit="1" customWidth="1"/>
    <col min="2" max="2" width="113.28515625" style="81" bestFit="1" customWidth="1"/>
    <col min="3" max="3" width="18.5703125" style="81" customWidth="1"/>
    <col min="4" max="4" width="18.85546875" style="81" customWidth="1"/>
    <col min="5" max="5" width="9.140625" style="81" customWidth="1"/>
    <col min="6" max="16384" width="9.140625" style="81"/>
  </cols>
  <sheetData>
    <row r="1" spans="1:12" ht="15.75">
      <c r="A1" s="481" t="s">
        <v>103</v>
      </c>
      <c r="B1" s="482"/>
      <c r="C1" s="482"/>
      <c r="D1" s="482"/>
      <c r="E1" s="482"/>
      <c r="F1" s="482"/>
      <c r="G1" s="482"/>
      <c r="H1" s="482"/>
      <c r="I1" s="483"/>
    </row>
    <row r="3" spans="1:12" ht="15">
      <c r="A3" s="484" t="s">
        <v>104</v>
      </c>
      <c r="B3" s="479"/>
      <c r="C3" s="479"/>
      <c r="D3" s="479"/>
      <c r="E3" s="479"/>
      <c r="F3" s="479"/>
      <c r="G3" s="479"/>
      <c r="H3" s="479"/>
      <c r="I3" s="480"/>
    </row>
    <row r="4" spans="1:12" ht="15">
      <c r="A4" s="82" t="s">
        <v>3</v>
      </c>
      <c r="B4" s="155" t="s">
        <v>286</v>
      </c>
      <c r="C4" s="84" t="s">
        <v>242</v>
      </c>
      <c r="D4" s="85" t="s">
        <v>242</v>
      </c>
      <c r="E4" s="86"/>
      <c r="F4" s="86"/>
      <c r="G4" s="86"/>
      <c r="H4" s="86"/>
      <c r="I4" s="86"/>
    </row>
    <row r="5" spans="1:12" ht="15">
      <c r="A5" s="82" t="s">
        <v>5</v>
      </c>
      <c r="B5" s="464" t="s">
        <v>243</v>
      </c>
      <c r="C5" s="465"/>
      <c r="D5" s="466"/>
      <c r="E5" s="86"/>
      <c r="F5" s="86"/>
      <c r="G5" s="86"/>
      <c r="H5" s="86"/>
      <c r="I5" s="86"/>
    </row>
    <row r="6" spans="1:12" ht="30" customHeight="1">
      <c r="A6" s="87" t="s">
        <v>107</v>
      </c>
      <c r="B6" s="507" t="s">
        <v>287</v>
      </c>
      <c r="C6" s="496"/>
      <c r="D6" s="497"/>
      <c r="E6" s="86"/>
      <c r="F6" s="86"/>
      <c r="G6" s="86"/>
      <c r="H6" s="86"/>
      <c r="I6" s="86"/>
    </row>
    <row r="7" spans="1:12" ht="15">
      <c r="A7" s="88" t="s">
        <v>109</v>
      </c>
      <c r="B7" s="92" t="s">
        <v>288</v>
      </c>
      <c r="C7" s="90"/>
      <c r="D7" s="91"/>
      <c r="E7" s="86"/>
      <c r="F7" s="86"/>
      <c r="G7" s="86"/>
      <c r="H7" s="86"/>
      <c r="I7" s="86"/>
    </row>
    <row r="8" spans="1:12" ht="15">
      <c r="A8" s="88" t="s">
        <v>11</v>
      </c>
      <c r="B8" s="156" t="s">
        <v>289</v>
      </c>
      <c r="C8" s="157" t="s">
        <v>290</v>
      </c>
      <c r="D8" s="91"/>
      <c r="E8" s="86"/>
      <c r="F8" s="86"/>
      <c r="G8" s="86"/>
      <c r="H8" s="86"/>
      <c r="I8" s="86"/>
    </row>
    <row r="9" spans="1:12" ht="15">
      <c r="A9" s="88" t="s">
        <v>112</v>
      </c>
      <c r="B9" s="464" t="s">
        <v>248</v>
      </c>
      <c r="C9" s="465"/>
      <c r="D9" s="466"/>
      <c r="E9" s="86"/>
      <c r="F9" s="86"/>
      <c r="G9" s="86"/>
      <c r="H9" s="86"/>
      <c r="I9" s="86"/>
    </row>
    <row r="10" spans="1:12" ht="15">
      <c r="A10" s="467" t="s">
        <v>13</v>
      </c>
      <c r="B10" s="508" t="s">
        <v>291</v>
      </c>
      <c r="C10" s="499"/>
      <c r="D10" s="499"/>
      <c r="E10" s="499"/>
      <c r="F10" s="499"/>
      <c r="G10" s="499"/>
      <c r="H10" s="499"/>
      <c r="I10" s="500"/>
    </row>
    <row r="11" spans="1:12" ht="15">
      <c r="A11" s="467"/>
      <c r="B11" s="501"/>
      <c r="C11" s="502"/>
      <c r="D11" s="502"/>
      <c r="E11" s="502"/>
      <c r="F11" s="502"/>
      <c r="G11" s="502"/>
      <c r="H11" s="502"/>
      <c r="I11" s="503"/>
    </row>
    <row r="12" spans="1:12" ht="15">
      <c r="A12" s="468"/>
      <c r="B12" s="504"/>
      <c r="C12" s="505"/>
      <c r="D12" s="505"/>
      <c r="E12" s="505"/>
      <c r="F12" s="505"/>
      <c r="G12" s="505"/>
      <c r="H12" s="505"/>
      <c r="I12" s="506"/>
    </row>
    <row r="14" spans="1:12" ht="15">
      <c r="A14" s="462" t="s">
        <v>115</v>
      </c>
      <c r="B14" s="463"/>
      <c r="C14" s="463"/>
      <c r="D14" s="463"/>
      <c r="E14" s="463"/>
      <c r="F14" s="463"/>
      <c r="G14" s="463"/>
      <c r="H14" s="463"/>
      <c r="I14" s="463"/>
      <c r="J14" s="463"/>
      <c r="K14" s="463"/>
      <c r="L14" s="463"/>
    </row>
    <row r="15" spans="1:12" ht="15.75">
      <c r="B15" s="94"/>
      <c r="C15" s="95" t="s">
        <v>116</v>
      </c>
      <c r="D15" s="96" t="s">
        <v>117</v>
      </c>
      <c r="E15" s="96" t="s">
        <v>118</v>
      </c>
      <c r="F15" s="96" t="s">
        <v>119</v>
      </c>
      <c r="G15" s="96" t="s">
        <v>120</v>
      </c>
      <c r="H15" s="96" t="s">
        <v>121</v>
      </c>
      <c r="I15" s="96" t="s">
        <v>122</v>
      </c>
      <c r="J15" s="96" t="s">
        <v>123</v>
      </c>
      <c r="K15" s="96" t="s">
        <v>124</v>
      </c>
      <c r="L15" s="96" t="s">
        <v>156</v>
      </c>
    </row>
    <row r="16" spans="1:12" ht="15">
      <c r="B16" s="97" t="s">
        <v>125</v>
      </c>
      <c r="C16" s="98">
        <v>14741</v>
      </c>
      <c r="D16" s="99">
        <v>16897</v>
      </c>
      <c r="E16" s="99">
        <v>19126</v>
      </c>
      <c r="F16" s="99">
        <v>24394</v>
      </c>
      <c r="G16" s="99">
        <v>20202</v>
      </c>
      <c r="H16" s="99">
        <v>22130</v>
      </c>
      <c r="I16" s="99">
        <v>24242</v>
      </c>
      <c r="J16" s="99">
        <v>26556</v>
      </c>
      <c r="K16" s="99">
        <v>29091</v>
      </c>
      <c r="L16" s="99">
        <v>31867</v>
      </c>
    </row>
    <row r="17" spans="1:12" ht="15">
      <c r="B17" s="97" t="s">
        <v>126</v>
      </c>
      <c r="C17" s="100">
        <v>2118</v>
      </c>
      <c r="D17" s="101">
        <v>2391</v>
      </c>
      <c r="E17" s="101">
        <v>2999</v>
      </c>
      <c r="F17" s="158">
        <v>3933</v>
      </c>
      <c r="G17" s="101">
        <v>3314</v>
      </c>
      <c r="H17" s="101">
        <v>3759</v>
      </c>
      <c r="I17" s="101">
        <v>4264</v>
      </c>
      <c r="J17" s="101">
        <v>4837</v>
      </c>
      <c r="K17" s="101">
        <v>5486</v>
      </c>
      <c r="L17" s="101">
        <v>6223</v>
      </c>
    </row>
    <row r="18" spans="1:12" ht="15">
      <c r="B18" s="97" t="s">
        <v>127</v>
      </c>
      <c r="C18" s="100">
        <v>3562</v>
      </c>
      <c r="D18" s="101">
        <v>3706</v>
      </c>
      <c r="E18" s="101">
        <v>4471</v>
      </c>
      <c r="F18" s="101">
        <v>5813</v>
      </c>
      <c r="G18" s="101">
        <v>4774</v>
      </c>
      <c r="H18" s="101">
        <v>5214</v>
      </c>
      <c r="I18" s="101">
        <v>5694</v>
      </c>
      <c r="J18" s="101">
        <v>6218</v>
      </c>
      <c r="K18" s="101">
        <v>6790</v>
      </c>
      <c r="L18" s="101">
        <v>7415</v>
      </c>
    </row>
    <row r="19" spans="1:12" ht="15">
      <c r="B19" s="97" t="s">
        <v>128</v>
      </c>
      <c r="C19" s="102">
        <v>22</v>
      </c>
      <c r="D19" s="103">
        <v>25</v>
      </c>
      <c r="E19" s="103">
        <v>31</v>
      </c>
      <c r="F19" s="103">
        <v>41</v>
      </c>
      <c r="G19" s="103">
        <v>34</v>
      </c>
      <c r="H19" s="103">
        <v>39</v>
      </c>
      <c r="I19" s="103">
        <v>44</v>
      </c>
      <c r="J19" s="103">
        <v>50</v>
      </c>
      <c r="K19" s="103">
        <v>57</v>
      </c>
      <c r="L19" s="103">
        <v>65</v>
      </c>
    </row>
    <row r="20" spans="1:12" ht="15">
      <c r="B20" s="97" t="s">
        <v>129</v>
      </c>
      <c r="C20" s="102">
        <v>21</v>
      </c>
      <c r="D20" s="103">
        <v>22</v>
      </c>
      <c r="E20" s="103">
        <v>17</v>
      </c>
      <c r="F20" s="103">
        <v>32</v>
      </c>
      <c r="G20" s="103">
        <v>27</v>
      </c>
      <c r="H20" s="103">
        <v>31</v>
      </c>
      <c r="I20" s="103">
        <v>35</v>
      </c>
      <c r="J20" s="103">
        <v>40</v>
      </c>
      <c r="K20" s="103">
        <v>45</v>
      </c>
      <c r="L20" s="103">
        <v>51</v>
      </c>
    </row>
    <row r="22" spans="1:12" ht="15">
      <c r="A22" s="494" t="s">
        <v>131</v>
      </c>
      <c r="B22" s="495"/>
      <c r="C22" s="495"/>
      <c r="D22" s="495"/>
      <c r="E22" s="495"/>
      <c r="F22" s="495"/>
      <c r="G22" s="495"/>
      <c r="H22" s="495"/>
      <c r="I22" s="495"/>
      <c r="J22" s="495"/>
      <c r="K22" s="495"/>
      <c r="L22" s="495"/>
    </row>
    <row r="23" spans="1:12" ht="15">
      <c r="B23" s="97" t="s">
        <v>132</v>
      </c>
      <c r="C23" s="159">
        <v>1.0288999999999999</v>
      </c>
      <c r="D23" s="160">
        <v>0.97</v>
      </c>
      <c r="E23" s="131" t="s">
        <v>176</v>
      </c>
      <c r="F23" s="160">
        <v>1.17</v>
      </c>
      <c r="G23" s="160">
        <v>0.80049999999999999</v>
      </c>
    </row>
    <row r="24" spans="1:12" ht="15">
      <c r="B24" s="97" t="s">
        <v>92</v>
      </c>
      <c r="C24" s="125">
        <v>222.46</v>
      </c>
      <c r="D24" s="126">
        <v>247.94</v>
      </c>
      <c r="E24" s="126" t="s">
        <v>176</v>
      </c>
      <c r="F24" s="126">
        <v>40.79</v>
      </c>
      <c r="G24" s="126">
        <v>34.380000000000003</v>
      </c>
    </row>
    <row r="25" spans="1:12" ht="15">
      <c r="B25" s="97" t="s">
        <v>93</v>
      </c>
      <c r="C25" s="125">
        <v>91.16</v>
      </c>
      <c r="D25" s="126">
        <v>76.84</v>
      </c>
      <c r="E25" s="126" t="s">
        <v>176</v>
      </c>
      <c r="F25" s="126">
        <v>75.709999999999994</v>
      </c>
      <c r="G25" s="126">
        <v>52.72</v>
      </c>
    </row>
    <row r="26" spans="1:12" ht="15">
      <c r="B26" s="97" t="s">
        <v>95</v>
      </c>
      <c r="C26" s="125">
        <v>51.01</v>
      </c>
      <c r="D26" s="126">
        <v>49.31</v>
      </c>
      <c r="E26" s="126" t="s">
        <v>176</v>
      </c>
      <c r="F26" s="126">
        <v>42.26</v>
      </c>
      <c r="G26" s="126">
        <v>45.05</v>
      </c>
    </row>
    <row r="27" spans="1:12" ht="15">
      <c r="B27" s="97" t="s">
        <v>133</v>
      </c>
      <c r="C27" s="127">
        <v>1E-4</v>
      </c>
      <c r="D27" s="128">
        <v>1E-4</v>
      </c>
      <c r="E27" s="128" t="s">
        <v>176</v>
      </c>
      <c r="F27" s="128">
        <v>2.0000000000000001E-4</v>
      </c>
      <c r="G27" s="128">
        <v>2.0000000000000001E-4</v>
      </c>
    </row>
    <row r="28" spans="1:12" ht="15">
      <c r="B28" s="97" t="s">
        <v>134</v>
      </c>
      <c r="C28" s="125">
        <v>0.02</v>
      </c>
      <c r="D28" s="126">
        <v>0.01</v>
      </c>
      <c r="E28" s="126" t="s">
        <v>176</v>
      </c>
      <c r="F28" s="126">
        <v>0.01</v>
      </c>
      <c r="G28" s="126">
        <v>0.18</v>
      </c>
    </row>
    <row r="29" spans="1:12" ht="15">
      <c r="B29" s="94"/>
      <c r="C29" s="94"/>
      <c r="D29" s="94"/>
      <c r="E29" s="94"/>
      <c r="F29" s="94"/>
      <c r="G29" s="94"/>
    </row>
    <row r="30" spans="1:12" ht="15">
      <c r="B30" s="97" t="s">
        <v>201</v>
      </c>
      <c r="C30" s="130">
        <v>25.23</v>
      </c>
      <c r="D30" s="131">
        <v>22.56</v>
      </c>
      <c r="E30" s="131" t="s">
        <v>176</v>
      </c>
      <c r="F30" s="131">
        <v>24.46</v>
      </c>
      <c r="G30" s="131">
        <v>23.92</v>
      </c>
    </row>
    <row r="31" spans="1:12" ht="15">
      <c r="B31" s="97" t="s">
        <v>207</v>
      </c>
      <c r="C31" s="161">
        <v>57.9</v>
      </c>
      <c r="D31" s="128">
        <v>0.70199999999999996</v>
      </c>
      <c r="E31" s="126" t="s">
        <v>176</v>
      </c>
      <c r="F31" s="126">
        <v>56.98</v>
      </c>
      <c r="G31" s="126">
        <v>57.3</v>
      </c>
    </row>
    <row r="32" spans="1:12" ht="15">
      <c r="B32" s="97" t="s">
        <v>209</v>
      </c>
      <c r="C32" s="162">
        <v>45.8</v>
      </c>
      <c r="D32" s="126">
        <v>8.74</v>
      </c>
      <c r="E32" s="126" t="s">
        <v>176</v>
      </c>
      <c r="F32" s="126">
        <v>-6.8</v>
      </c>
      <c r="G32" s="126">
        <v>-17.05</v>
      </c>
    </row>
    <row r="33" spans="1:10" ht="15">
      <c r="B33" s="97" t="s">
        <v>268</v>
      </c>
      <c r="C33" s="125">
        <v>7635</v>
      </c>
      <c r="D33" s="126">
        <v>6955</v>
      </c>
      <c r="E33" s="126" t="s">
        <v>176</v>
      </c>
      <c r="F33" s="126">
        <v>12876</v>
      </c>
      <c r="G33" s="126">
        <v>9658</v>
      </c>
    </row>
    <row r="34" spans="1:10" ht="15">
      <c r="B34" s="97" t="s">
        <v>215</v>
      </c>
      <c r="C34" s="125">
        <v>1187</v>
      </c>
      <c r="D34" s="126">
        <v>1272</v>
      </c>
      <c r="E34" s="126" t="s">
        <v>176</v>
      </c>
      <c r="F34" s="126">
        <v>1938</v>
      </c>
      <c r="G34" s="126">
        <v>1802</v>
      </c>
    </row>
    <row r="35" spans="1:10" ht="15">
      <c r="B35" s="97" t="s">
        <v>216</v>
      </c>
      <c r="C35" s="125" t="s">
        <v>242</v>
      </c>
      <c r="D35" s="126" t="s">
        <v>242</v>
      </c>
      <c r="E35" s="126" t="s">
        <v>242</v>
      </c>
      <c r="F35" s="126" t="s">
        <v>242</v>
      </c>
      <c r="G35" s="126" t="s">
        <v>242</v>
      </c>
    </row>
    <row r="37" spans="1:10" ht="14.45" customHeight="1">
      <c r="A37" s="509" t="s">
        <v>141</v>
      </c>
      <c r="B37" s="510"/>
      <c r="C37" s="510"/>
      <c r="D37" s="510"/>
      <c r="E37" s="510"/>
      <c r="F37" s="510"/>
      <c r="G37" s="510"/>
      <c r="H37" s="510"/>
      <c r="I37" s="510"/>
      <c r="J37" s="510"/>
    </row>
    <row r="38" spans="1:10" ht="15.75" customHeight="1">
      <c r="B38" s="514" t="s">
        <v>142</v>
      </c>
      <c r="C38" s="488">
        <v>2</v>
      </c>
      <c r="D38" s="490" t="s">
        <v>292</v>
      </c>
      <c r="E38" s="490"/>
      <c r="F38" s="490"/>
      <c r="G38" s="490"/>
      <c r="H38" s="490"/>
      <c r="I38" s="490"/>
      <c r="J38" s="490"/>
    </row>
    <row r="39" spans="1:10" ht="15.75" customHeight="1">
      <c r="B39" s="487"/>
      <c r="C39" s="489"/>
      <c r="D39" s="490"/>
      <c r="E39" s="490"/>
      <c r="F39" s="490"/>
      <c r="G39" s="490"/>
      <c r="H39" s="490"/>
      <c r="I39" s="490"/>
      <c r="J39" s="490"/>
    </row>
    <row r="40" spans="1:10" ht="15.75" customHeight="1">
      <c r="B40" s="487" t="s">
        <v>143</v>
      </c>
      <c r="C40" s="488">
        <v>2</v>
      </c>
      <c r="D40" s="513" t="s">
        <v>293</v>
      </c>
      <c r="E40" s="513"/>
      <c r="F40" s="513"/>
      <c r="G40" s="513"/>
      <c r="H40" s="513"/>
      <c r="I40" s="513"/>
      <c r="J40" s="513"/>
    </row>
    <row r="41" spans="1:10" ht="15.75" customHeight="1">
      <c r="B41" s="487"/>
      <c r="C41" s="489"/>
      <c r="D41" s="490"/>
      <c r="E41" s="490"/>
      <c r="F41" s="490"/>
      <c r="G41" s="490"/>
      <c r="H41" s="490"/>
      <c r="I41" s="490"/>
      <c r="J41" s="490"/>
    </row>
    <row r="42" spans="1:10" ht="18" customHeight="1">
      <c r="B42" s="487" t="s">
        <v>144</v>
      </c>
      <c r="C42" s="488">
        <v>3</v>
      </c>
      <c r="D42" s="513" t="s">
        <v>294</v>
      </c>
      <c r="E42" s="513"/>
      <c r="F42" s="513"/>
      <c r="G42" s="513"/>
      <c r="H42" s="513"/>
      <c r="I42" s="513"/>
      <c r="J42" s="513"/>
    </row>
    <row r="43" spans="1:10" ht="18" customHeight="1">
      <c r="B43" s="487"/>
      <c r="C43" s="489"/>
      <c r="D43" s="490"/>
      <c r="E43" s="490"/>
      <c r="F43" s="490"/>
      <c r="G43" s="490"/>
      <c r="H43" s="490"/>
      <c r="I43" s="490"/>
      <c r="J43" s="490"/>
    </row>
    <row r="44" spans="1:10" ht="30.75" customHeight="1">
      <c r="B44" s="107" t="s">
        <v>145</v>
      </c>
      <c r="C44" s="105">
        <v>3</v>
      </c>
      <c r="D44" s="513" t="s">
        <v>295</v>
      </c>
      <c r="E44" s="513"/>
      <c r="F44" s="513"/>
      <c r="G44" s="513"/>
      <c r="H44" s="513"/>
      <c r="I44" s="513"/>
      <c r="J44" s="513"/>
    </row>
    <row r="45" spans="1:10" ht="15"/>
    <row r="46" spans="1:10" ht="14.45" customHeight="1">
      <c r="A46" s="511" t="s">
        <v>146</v>
      </c>
      <c r="B46" s="512"/>
      <c r="C46" s="512"/>
      <c r="D46" s="512"/>
      <c r="E46" s="512"/>
      <c r="F46" s="512"/>
      <c r="G46" s="512"/>
      <c r="H46" s="512"/>
      <c r="I46" s="512"/>
      <c r="J46" s="512"/>
    </row>
    <row r="48" spans="1:10" ht="15">
      <c r="A48" s="108" t="s">
        <v>253</v>
      </c>
      <c r="B48" s="109" t="s">
        <v>254</v>
      </c>
    </row>
    <row r="49" spans="1:2" ht="15">
      <c r="A49" s="22" t="s">
        <v>296</v>
      </c>
      <c r="B49" s="22" t="s">
        <v>297</v>
      </c>
    </row>
    <row r="50" spans="1:2" ht="15">
      <c r="A50" s="22" t="s">
        <v>298</v>
      </c>
      <c r="B50" s="22" t="s">
        <v>299</v>
      </c>
    </row>
    <row r="51" spans="1:2" ht="15">
      <c r="A51" s="22" t="s">
        <v>300</v>
      </c>
      <c r="B51" s="22" t="s">
        <v>301</v>
      </c>
    </row>
    <row r="52" spans="1:2" ht="15">
      <c r="A52" s="22" t="s">
        <v>302</v>
      </c>
      <c r="B52" s="22" t="s">
        <v>303</v>
      </c>
    </row>
    <row r="53" spans="1:2" ht="15">
      <c r="A53" s="22" t="s">
        <v>304</v>
      </c>
      <c r="B53" s="22" t="s">
        <v>305</v>
      </c>
    </row>
    <row r="54" spans="1:2" ht="15">
      <c r="A54" s="22" t="s">
        <v>306</v>
      </c>
    </row>
  </sheetData>
  <mergeCells count="21">
    <mergeCell ref="A37:J37"/>
    <mergeCell ref="A46:J46"/>
    <mergeCell ref="D38:J39"/>
    <mergeCell ref="D40:J41"/>
    <mergeCell ref="D42:J43"/>
    <mergeCell ref="D44:J44"/>
    <mergeCell ref="B40:B41"/>
    <mergeCell ref="C40:C41"/>
    <mergeCell ref="B42:B43"/>
    <mergeCell ref="C42:C43"/>
    <mergeCell ref="C38:C39"/>
    <mergeCell ref="B38:B39"/>
    <mergeCell ref="A14:L14"/>
    <mergeCell ref="A22:L22"/>
    <mergeCell ref="A1:I1"/>
    <mergeCell ref="A3:I3"/>
    <mergeCell ref="B5:D5"/>
    <mergeCell ref="B6:D6"/>
    <mergeCell ref="B9:D9"/>
    <mergeCell ref="A10:A12"/>
    <mergeCell ref="B10:I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3FB70-45C4-45CD-BC30-65920174B9A5}">
  <dimension ref="A1:L53"/>
  <sheetViews>
    <sheetView topLeftCell="D21" workbookViewId="0">
      <selection activeCell="D34" sqref="D34"/>
    </sheetView>
  </sheetViews>
  <sheetFormatPr defaultColWidth="9.140625" defaultRowHeight="14.45" customHeight="1"/>
  <cols>
    <col min="1" max="1" width="31" style="81" customWidth="1"/>
    <col min="2" max="2" width="44.5703125" style="81" customWidth="1"/>
    <col min="3" max="3" width="9.140625" style="81" customWidth="1"/>
    <col min="4" max="4" width="36.5703125" style="81" bestFit="1" customWidth="1"/>
    <col min="5" max="5" width="9.140625" style="81" customWidth="1"/>
    <col min="6" max="16384" width="9.140625" style="81"/>
  </cols>
  <sheetData>
    <row r="1" spans="1:12" ht="15.75">
      <c r="A1" s="481" t="s">
        <v>103</v>
      </c>
      <c r="B1" s="482"/>
      <c r="C1" s="482"/>
      <c r="D1" s="482"/>
      <c r="E1" s="482"/>
      <c r="F1" s="482"/>
      <c r="G1" s="482"/>
      <c r="H1" s="482"/>
      <c r="I1" s="483"/>
    </row>
    <row r="3" spans="1:12" ht="15">
      <c r="A3" s="484" t="s">
        <v>104</v>
      </c>
      <c r="B3" s="479"/>
      <c r="C3" s="479"/>
      <c r="D3" s="479"/>
      <c r="E3" s="479"/>
      <c r="F3" s="479"/>
      <c r="G3" s="479"/>
      <c r="H3" s="479"/>
      <c r="I3" s="480"/>
    </row>
    <row r="4" spans="1:12" ht="15">
      <c r="A4" s="82" t="s">
        <v>3</v>
      </c>
      <c r="B4" s="84" t="s">
        <v>307</v>
      </c>
      <c r="C4" s="84" t="s">
        <v>242</v>
      </c>
      <c r="D4" s="85" t="s">
        <v>242</v>
      </c>
      <c r="E4" s="86"/>
      <c r="F4" s="86"/>
      <c r="G4" s="86"/>
      <c r="H4" s="86"/>
      <c r="I4" s="86"/>
    </row>
    <row r="5" spans="1:12" ht="15">
      <c r="A5" s="82" t="s">
        <v>5</v>
      </c>
      <c r="B5" s="464" t="s">
        <v>243</v>
      </c>
      <c r="C5" s="465"/>
      <c r="D5" s="466"/>
      <c r="E5" s="86"/>
      <c r="F5" s="86"/>
      <c r="G5" s="86"/>
      <c r="H5" s="86"/>
      <c r="I5" s="86"/>
    </row>
    <row r="6" spans="1:12" ht="15">
      <c r="A6" s="87" t="s">
        <v>107</v>
      </c>
      <c r="B6" s="485" t="s">
        <v>308</v>
      </c>
      <c r="C6" s="485"/>
      <c r="D6" s="486"/>
      <c r="E6" s="86"/>
      <c r="F6" s="86"/>
      <c r="G6" s="86"/>
      <c r="H6" s="86"/>
      <c r="I6" s="86"/>
    </row>
    <row r="7" spans="1:12" ht="15">
      <c r="A7" s="88" t="s">
        <v>109</v>
      </c>
      <c r="B7" s="163" t="s">
        <v>309</v>
      </c>
      <c r="C7" s="90"/>
      <c r="D7" s="91"/>
      <c r="E7" s="86"/>
      <c r="F7" s="86"/>
      <c r="G7" s="86"/>
      <c r="H7" s="86"/>
      <c r="I7" s="86"/>
    </row>
    <row r="8" spans="1:12" ht="15">
      <c r="A8" s="88" t="s">
        <v>11</v>
      </c>
      <c r="B8" s="92" t="s">
        <v>310</v>
      </c>
      <c r="C8" s="90"/>
      <c r="D8" s="91"/>
      <c r="E8" s="86"/>
      <c r="F8" s="86"/>
      <c r="G8" s="86"/>
      <c r="H8" s="86"/>
      <c r="I8" s="86"/>
    </row>
    <row r="9" spans="1:12" ht="15">
      <c r="A9" s="88" t="s">
        <v>112</v>
      </c>
      <c r="B9" s="515" t="s">
        <v>266</v>
      </c>
      <c r="C9" s="516"/>
      <c r="D9" s="517"/>
      <c r="E9" s="86"/>
      <c r="F9" s="86"/>
      <c r="G9" s="86"/>
      <c r="H9" s="86"/>
      <c r="I9" s="86"/>
    </row>
    <row r="10" spans="1:12" ht="15">
      <c r="A10" s="518" t="s">
        <v>13</v>
      </c>
      <c r="B10" s="498" t="s">
        <v>311</v>
      </c>
      <c r="C10" s="499"/>
      <c r="D10" s="499"/>
      <c r="E10" s="499"/>
      <c r="F10" s="499"/>
      <c r="G10" s="499"/>
      <c r="H10" s="499"/>
      <c r="I10" s="500"/>
    </row>
    <row r="11" spans="1:12" ht="15">
      <c r="A11" s="518"/>
      <c r="B11" s="501"/>
      <c r="C11" s="502"/>
      <c r="D11" s="502"/>
      <c r="E11" s="502"/>
      <c r="F11" s="502"/>
      <c r="G11" s="502"/>
      <c r="H11" s="502"/>
      <c r="I11" s="503"/>
    </row>
    <row r="12" spans="1:12" ht="15">
      <c r="A12" s="519"/>
      <c r="B12" s="504"/>
      <c r="C12" s="505"/>
      <c r="D12" s="505"/>
      <c r="E12" s="505"/>
      <c r="F12" s="505"/>
      <c r="G12" s="505"/>
      <c r="H12" s="505"/>
      <c r="I12" s="506"/>
    </row>
    <row r="14" spans="1:12" ht="15">
      <c r="A14" s="478" t="s">
        <v>115</v>
      </c>
      <c r="B14" s="479"/>
      <c r="C14" s="479"/>
      <c r="D14" s="479"/>
      <c r="E14" s="479"/>
      <c r="F14" s="479"/>
      <c r="G14" s="479"/>
      <c r="H14" s="479"/>
      <c r="I14" s="480"/>
    </row>
    <row r="15" spans="1:12" ht="15.75">
      <c r="B15" s="94"/>
      <c r="C15" s="95" t="s">
        <v>116</v>
      </c>
      <c r="D15" s="96" t="s">
        <v>117</v>
      </c>
      <c r="E15" s="96" t="s">
        <v>118</v>
      </c>
      <c r="F15" s="96" t="s">
        <v>119</v>
      </c>
      <c r="G15" s="96" t="s">
        <v>120</v>
      </c>
      <c r="H15" s="96" t="s">
        <v>121</v>
      </c>
      <c r="I15" s="96" t="s">
        <v>122</v>
      </c>
      <c r="J15" s="96" t="s">
        <v>123</v>
      </c>
      <c r="K15" s="96" t="s">
        <v>124</v>
      </c>
      <c r="L15" s="96" t="s">
        <v>156</v>
      </c>
    </row>
    <row r="16" spans="1:12" ht="15">
      <c r="B16" s="97" t="s">
        <v>125</v>
      </c>
      <c r="C16" s="164">
        <v>13136</v>
      </c>
      <c r="D16" s="165">
        <v>14136</v>
      </c>
      <c r="E16" s="165">
        <v>16301</v>
      </c>
      <c r="F16" s="165">
        <v>16769</v>
      </c>
      <c r="G16" s="165">
        <v>17943</v>
      </c>
      <c r="H16" s="126">
        <f>_xlfn.FORECAST.LINEAR(2026,C16:G16,{2021,2022,2023,2024,2025})</f>
        <v>19331.100000000093</v>
      </c>
      <c r="I16" s="126">
        <f>_xlfn.FORECAST.LINEAR(2026,D16:H16,{2021,2022,2023,2024,2025})</f>
        <v>20505.680000000168</v>
      </c>
      <c r="J16" s="126">
        <f>_xlfn.FORECAST.LINEAR(2026,E16:I16,{2021,2022,2023,2024,2025})</f>
        <v>21461.394000000786</v>
      </c>
      <c r="K16" s="126">
        <f>_xlfn.FORECAST.LINEAR(2026,F16:J16,{2021,2022,2023,2024,2025})</f>
        <v>22786.275200000964</v>
      </c>
      <c r="L16" s="126">
        <f>_xlfn.FORECAST.LINEAR(2026,G16:K16,{2021,2022,2023,2024,2025})</f>
        <v>23950.543160001282</v>
      </c>
    </row>
    <row r="17" spans="1:12" ht="15">
      <c r="B17" s="97" t="s">
        <v>126</v>
      </c>
      <c r="C17" s="164">
        <v>1851</v>
      </c>
      <c r="D17" s="165">
        <v>1516</v>
      </c>
      <c r="E17" s="165">
        <v>2316</v>
      </c>
      <c r="F17" s="166">
        <v>2134</v>
      </c>
      <c r="G17" s="166">
        <v>2178</v>
      </c>
      <c r="H17" s="126">
        <f>_xlfn.FORECAST.LINEAR(2026,C17:G17,{2021,2022,2023,2024,2025})</f>
        <v>2380.6000000000058</v>
      </c>
      <c r="I17" s="126">
        <f>_xlfn.FORECAST.LINEAR(2026,D17:H17,{2021,2022,2023,2024,2025})</f>
        <v>2582.2800000000279</v>
      </c>
      <c r="J17" s="126">
        <f>_xlfn.FORECAST.LINEAR(2026,E17:I17,{2021,2022,2023,2024,2025})</f>
        <v>2551.9239999999991</v>
      </c>
      <c r="K17" s="126">
        <f>_xlfn.FORECAST.LINEAR(2026,F17:J17,{2021,2022,2023,2024,2025})</f>
        <v>2737.3992000000144</v>
      </c>
      <c r="L17" s="126">
        <f>_xlfn.FORECAST.LINEAR(2026,G17:K17,{2021,2022,2023,2024,2025})</f>
        <v>2873.0773600000539</v>
      </c>
    </row>
    <row r="18" spans="1:12" ht="15">
      <c r="B18" s="97" t="s">
        <v>127</v>
      </c>
      <c r="C18" s="164">
        <v>2821.55</v>
      </c>
      <c r="D18" s="165">
        <v>2423.36</v>
      </c>
      <c r="E18" s="165">
        <v>3433.23</v>
      </c>
      <c r="F18" s="165">
        <v>3381.12</v>
      </c>
      <c r="G18" s="167">
        <v>3384</v>
      </c>
      <c r="H18" s="126">
        <f>_xlfn.FORECAST.LINEAR(2026,C18:G18,{2021,2022,2023,2024,2025})</f>
        <v>3713.4500000000116</v>
      </c>
      <c r="I18" s="126">
        <f>_xlfn.FORECAST.LINEAR(2026,D18:H18,{2021,2022,2023,2024,2025})</f>
        <v>4026.3170000000391</v>
      </c>
      <c r="J18" s="126">
        <f>_xlfn.FORECAST.LINEAR(2026,E18:I18,{2021,2022,2023,2024,2025})</f>
        <v>4043.1746000000276</v>
      </c>
      <c r="K18" s="126">
        <f>_xlfn.FORECAST.LINEAR(2026,F18:J18,{2021,2022,2023,2024,2025})</f>
        <v>4299.5401800000691</v>
      </c>
      <c r="L18" s="126">
        <f>_xlfn.FORECAST.LINEAR(2026,G18:K18,{2021,2022,2023,2024,2025})</f>
        <v>4541.5378440000932</v>
      </c>
    </row>
    <row r="19" spans="1:12" ht="15">
      <c r="B19" s="97" t="s">
        <v>128</v>
      </c>
      <c r="C19" s="125">
        <v>77.38</v>
      </c>
      <c r="D19" s="126">
        <v>63.31</v>
      </c>
      <c r="E19" s="126">
        <v>96.39</v>
      </c>
      <c r="F19" s="126">
        <v>88.84</v>
      </c>
      <c r="G19" s="126">
        <v>90.45</v>
      </c>
      <c r="H19" s="126">
        <f>_xlfn.FORECAST.LINEAR(2026,C19:G19,{2021,2022,2023,2024,2025})</f>
        <v>98.774999999997817</v>
      </c>
      <c r="I19" s="126">
        <f>_xlfn.FORECAST.LINEAR(2026,D19:H19,{2021,2022,2023,2024,2025})</f>
        <v>107.04999999999927</v>
      </c>
      <c r="J19" s="126">
        <f>_xlfn.FORECAST.LINEAR(2026,E19:I19,{2021,2022,2023,2024,2025})</f>
        <v>105.67749999999796</v>
      </c>
      <c r="K19" s="126">
        <f>_xlfn.FORECAST.LINEAR(2026,F19:J19,{2021,2022,2023,2024,2025})</f>
        <v>113.24099999999817</v>
      </c>
      <c r="L19" s="126">
        <f>_xlfn.FORECAST.LINEAR(2026,G19:K19,{2021,2022,2023,2024,2025})</f>
        <v>118.78404999999839</v>
      </c>
    </row>
    <row r="20" spans="1:12" ht="15">
      <c r="B20" s="97" t="s">
        <v>129</v>
      </c>
      <c r="C20" s="125">
        <v>62</v>
      </c>
      <c r="D20" s="126">
        <v>56</v>
      </c>
      <c r="E20" s="126">
        <v>72</v>
      </c>
      <c r="F20" s="126">
        <v>73.5</v>
      </c>
      <c r="G20" s="126">
        <v>74.42</v>
      </c>
      <c r="H20" s="126">
        <f>_xlfn.FORECAST.LINEAR(2026,C20:G20,{2021,2022,2023,2024,2025})</f>
        <v>80.286000000001877</v>
      </c>
      <c r="I20" s="126">
        <f>_xlfn.FORECAST.LINEAR(2026,D20:H20,{2021,2022,2023,2024,2025})</f>
        <v>86.538800000000265</v>
      </c>
      <c r="J20" s="126">
        <f>_xlfn.FORECAST.LINEAR(2026,E20:I20,{2021,2022,2023,2024,2025})</f>
        <v>88.108040000000983</v>
      </c>
      <c r="K20" s="126">
        <f>_xlfn.FORECAST.LINEAR(2026,F20:J20,{2021,2022,2023,2024,2025})</f>
        <v>92.971032000001287</v>
      </c>
      <c r="L20" s="126">
        <f>_xlfn.FORECAST.LINEAR(2026,G20:K20,{2021,2022,2023,2024,2025})</f>
        <v>97.942005600001721</v>
      </c>
    </row>
    <row r="22" spans="1:12" ht="15">
      <c r="A22" s="478" t="s">
        <v>131</v>
      </c>
      <c r="B22" s="479"/>
      <c r="C22" s="479"/>
      <c r="D22" s="479"/>
      <c r="E22" s="479"/>
      <c r="F22" s="479"/>
      <c r="G22" s="479"/>
      <c r="H22" s="479"/>
      <c r="I22" s="480"/>
    </row>
    <row r="23" spans="1:12" ht="15">
      <c r="B23" s="97" t="s">
        <v>132</v>
      </c>
      <c r="C23" s="159">
        <v>0.53</v>
      </c>
      <c r="D23" s="160">
        <v>0.66700000000000004</v>
      </c>
      <c r="E23" s="160">
        <v>0.67</v>
      </c>
      <c r="F23" s="160">
        <v>0.59</v>
      </c>
      <c r="G23" s="160">
        <v>0.52900000000000003</v>
      </c>
    </row>
    <row r="24" spans="1:12" ht="15">
      <c r="B24" s="97" t="s">
        <v>92</v>
      </c>
      <c r="C24" s="125">
        <v>45.3</v>
      </c>
      <c r="D24" s="126">
        <v>63.2</v>
      </c>
      <c r="E24" s="126">
        <v>60.2</v>
      </c>
      <c r="F24" s="126">
        <v>54.8</v>
      </c>
      <c r="G24" s="168">
        <v>53.5</v>
      </c>
    </row>
    <row r="25" spans="1:12" ht="15">
      <c r="B25" s="97" t="s">
        <v>93</v>
      </c>
      <c r="C25" s="125">
        <v>24.64</v>
      </c>
      <c r="D25" s="126">
        <v>30.18</v>
      </c>
      <c r="E25" s="126">
        <v>29.46</v>
      </c>
      <c r="F25" s="169">
        <v>30.03</v>
      </c>
      <c r="G25" s="169">
        <v>27.3</v>
      </c>
    </row>
    <row r="26" spans="1:12" ht="15">
      <c r="B26" s="97" t="s">
        <v>95</v>
      </c>
      <c r="C26" s="125">
        <v>33.299999999999997</v>
      </c>
      <c r="D26" s="126">
        <v>40.299999999999997</v>
      </c>
      <c r="E26" s="126">
        <v>40</v>
      </c>
      <c r="F26" s="126">
        <v>35.5</v>
      </c>
      <c r="G26" s="126">
        <v>35.5</v>
      </c>
    </row>
    <row r="27" spans="1:12" ht="15">
      <c r="B27" s="97" t="s">
        <v>133</v>
      </c>
      <c r="C27" s="127">
        <f>157/3618.05</f>
        <v>4.3393540719448322E-2</v>
      </c>
      <c r="D27" s="128">
        <f>56.5/3843.05</f>
        <v>1.470186440457449E-2</v>
      </c>
      <c r="E27" s="128">
        <f>72/5024.2</f>
        <v>1.4330639703833447E-2</v>
      </c>
      <c r="F27" s="128">
        <f>73/4813</f>
        <v>1.5167255350093497E-2</v>
      </c>
      <c r="G27" s="128">
        <v>1.32E-2</v>
      </c>
    </row>
    <row r="28" spans="1:12" ht="15">
      <c r="B28" s="97" t="s">
        <v>134</v>
      </c>
      <c r="C28" s="125">
        <v>0.59</v>
      </c>
      <c r="D28" s="126">
        <v>0.96</v>
      </c>
      <c r="E28" s="126">
        <v>0.84</v>
      </c>
      <c r="F28" s="126">
        <v>0.54</v>
      </c>
      <c r="G28" s="126">
        <v>0.28999999999999998</v>
      </c>
    </row>
    <row r="29" spans="1:12" ht="15">
      <c r="B29" s="94"/>
      <c r="C29" s="94"/>
      <c r="D29" s="94"/>
      <c r="E29" s="94"/>
      <c r="F29" s="94"/>
      <c r="G29" s="94"/>
    </row>
    <row r="30" spans="1:12" ht="15">
      <c r="B30" s="97" t="s">
        <v>201</v>
      </c>
      <c r="C30" s="130">
        <v>21.48</v>
      </c>
      <c r="D30" s="131">
        <v>17.14</v>
      </c>
      <c r="E30" s="131">
        <v>18.96</v>
      </c>
      <c r="F30" s="131">
        <v>20.170000000000002</v>
      </c>
      <c r="G30" s="131">
        <v>19.02</v>
      </c>
    </row>
    <row r="31" spans="1:12" ht="15">
      <c r="B31" s="97" t="s">
        <v>207</v>
      </c>
      <c r="C31" s="127">
        <v>0.191</v>
      </c>
      <c r="D31" s="128">
        <v>0.15570000000000001</v>
      </c>
      <c r="E31" s="128">
        <v>0.1736</v>
      </c>
      <c r="F31" s="128">
        <v>0.1888</v>
      </c>
      <c r="G31" s="128">
        <v>0.17699999999999999</v>
      </c>
    </row>
    <row r="32" spans="1:12" ht="15">
      <c r="B32" s="97" t="s">
        <v>209</v>
      </c>
      <c r="C32" s="161">
        <v>15</v>
      </c>
      <c r="D32" s="168">
        <v>15</v>
      </c>
      <c r="E32" s="168">
        <v>1</v>
      </c>
      <c r="F32" s="168">
        <v>-5</v>
      </c>
      <c r="G32" s="168">
        <v>10</v>
      </c>
    </row>
    <row r="33" spans="1:9" ht="15">
      <c r="B33" s="97" t="s">
        <v>268</v>
      </c>
      <c r="C33" s="162">
        <v>475</v>
      </c>
      <c r="D33" s="162">
        <v>451</v>
      </c>
      <c r="E33" s="162">
        <v>417</v>
      </c>
      <c r="F33" s="162">
        <v>675</v>
      </c>
      <c r="G33" s="162">
        <v>695</v>
      </c>
    </row>
    <row r="34" spans="1:9" ht="15">
      <c r="B34" s="97" t="s">
        <v>215</v>
      </c>
      <c r="C34" s="125"/>
      <c r="D34" s="126">
        <v>32.15</v>
      </c>
      <c r="E34" s="126">
        <v>37.119999999999997</v>
      </c>
      <c r="F34" s="126">
        <v>45.76</v>
      </c>
      <c r="G34" s="126">
        <v>46.11</v>
      </c>
    </row>
    <row r="35" spans="1:9" ht="15">
      <c r="B35" s="97" t="s">
        <v>216</v>
      </c>
      <c r="C35" s="125" t="s">
        <v>242</v>
      </c>
      <c r="D35" s="126" t="s">
        <v>242</v>
      </c>
      <c r="E35" s="126" t="s">
        <v>242</v>
      </c>
      <c r="F35" s="126" t="s">
        <v>242</v>
      </c>
      <c r="G35" s="126" t="s">
        <v>242</v>
      </c>
    </row>
    <row r="37" spans="1:9" ht="15">
      <c r="A37" s="478" t="s">
        <v>141</v>
      </c>
      <c r="B37" s="492"/>
      <c r="C37" s="492"/>
      <c r="D37" s="492"/>
      <c r="E37" s="479"/>
      <c r="F37" s="479"/>
      <c r="G37" s="479"/>
      <c r="H37" s="479"/>
      <c r="I37" s="480"/>
    </row>
    <row r="38" spans="1:9" ht="45">
      <c r="B38" s="170" t="s">
        <v>142</v>
      </c>
      <c r="C38" s="171">
        <v>4</v>
      </c>
      <c r="D38" s="172" t="s">
        <v>312</v>
      </c>
    </row>
    <row r="39" spans="1:9" ht="45">
      <c r="B39" s="170" t="s">
        <v>143</v>
      </c>
      <c r="C39" s="171">
        <v>4</v>
      </c>
      <c r="D39" s="172" t="s">
        <v>313</v>
      </c>
    </row>
    <row r="40" spans="1:9" ht="30">
      <c r="B40" s="170" t="s">
        <v>144</v>
      </c>
      <c r="C40" s="171">
        <v>3.5</v>
      </c>
      <c r="D40" s="172" t="s">
        <v>314</v>
      </c>
    </row>
    <row r="41" spans="1:9" ht="45">
      <c r="B41" s="170" t="s">
        <v>145</v>
      </c>
      <c r="C41" s="173">
        <v>3.5</v>
      </c>
      <c r="D41" s="172" t="s">
        <v>315</v>
      </c>
    </row>
    <row r="43" spans="1:9" ht="15">
      <c r="A43" s="478" t="s">
        <v>146</v>
      </c>
      <c r="B43" s="479"/>
      <c r="C43" s="479"/>
      <c r="D43" s="479"/>
      <c r="E43" s="479"/>
      <c r="F43" s="479"/>
      <c r="G43" s="479"/>
      <c r="H43" s="479"/>
      <c r="I43" s="480"/>
    </row>
    <row r="45" spans="1:9" ht="15">
      <c r="A45" s="174" t="s">
        <v>253</v>
      </c>
      <c r="B45" s="175" t="s">
        <v>254</v>
      </c>
    </row>
    <row r="46" spans="1:9" ht="60">
      <c r="A46" s="176" t="s">
        <v>316</v>
      </c>
      <c r="B46" s="177" t="s">
        <v>317</v>
      </c>
    </row>
    <row r="47" spans="1:9" ht="60">
      <c r="A47" s="178" t="s">
        <v>318</v>
      </c>
      <c r="B47" s="179" t="s">
        <v>319</v>
      </c>
    </row>
    <row r="48" spans="1:9" ht="30">
      <c r="A48" s="180" t="s">
        <v>320</v>
      </c>
      <c r="B48" s="147" t="s">
        <v>321</v>
      </c>
    </row>
    <row r="49" spans="1:2" ht="45">
      <c r="A49" s="178" t="s">
        <v>322</v>
      </c>
      <c r="B49" s="181" t="s">
        <v>323</v>
      </c>
    </row>
    <row r="50" spans="1:2" ht="45">
      <c r="A50" s="182" t="s">
        <v>324</v>
      </c>
      <c r="B50" s="183" t="s">
        <v>325</v>
      </c>
    </row>
    <row r="51" spans="1:2" ht="45">
      <c r="A51" s="178" t="s">
        <v>326</v>
      </c>
      <c r="B51" s="181" t="s">
        <v>327</v>
      </c>
    </row>
    <row r="52" spans="1:2" ht="45">
      <c r="A52" s="182" t="s">
        <v>328</v>
      </c>
      <c r="B52" s="183" t="s">
        <v>329</v>
      </c>
    </row>
    <row r="53" spans="1:2" ht="45">
      <c r="A53" s="184" t="s">
        <v>330</v>
      </c>
      <c r="B53" s="185"/>
    </row>
  </sheetData>
  <mergeCells count="11">
    <mergeCell ref="A14:I14"/>
    <mergeCell ref="A22:I22"/>
    <mergeCell ref="A37:I37"/>
    <mergeCell ref="A43:I43"/>
    <mergeCell ref="A1:I1"/>
    <mergeCell ref="A3:I3"/>
    <mergeCell ref="B5:D5"/>
    <mergeCell ref="B6:D6"/>
    <mergeCell ref="B9:D9"/>
    <mergeCell ref="B10:I12"/>
    <mergeCell ref="A10:A12"/>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B5DF-F541-4994-9A6F-833D75D7B9A5}">
  <dimension ref="A1:L54"/>
  <sheetViews>
    <sheetView topLeftCell="A45" workbookViewId="0">
      <selection activeCell="B2" sqref="B1:B1048576"/>
    </sheetView>
  </sheetViews>
  <sheetFormatPr defaultColWidth="9.140625" defaultRowHeight="14.45" customHeight="1"/>
  <cols>
    <col min="1" max="1" width="96.85546875" style="81" bestFit="1" customWidth="1"/>
    <col min="2" max="2" width="92" style="81" bestFit="1" customWidth="1"/>
    <col min="3" max="3" width="15.85546875" style="81" customWidth="1"/>
    <col min="4" max="4" width="18.5703125" style="81" customWidth="1"/>
    <col min="5" max="5" width="9.140625" style="81" customWidth="1"/>
    <col min="6" max="16384" width="9.140625" style="81"/>
  </cols>
  <sheetData>
    <row r="1" spans="1:12" ht="15.75">
      <c r="A1" s="481" t="s">
        <v>103</v>
      </c>
      <c r="B1" s="482"/>
      <c r="C1" s="482"/>
      <c r="D1" s="482"/>
      <c r="E1" s="482"/>
      <c r="F1" s="482"/>
      <c r="G1" s="482"/>
      <c r="H1" s="482"/>
      <c r="I1" s="483"/>
    </row>
    <row r="3" spans="1:12" ht="15">
      <c r="A3" s="484" t="s">
        <v>104</v>
      </c>
      <c r="B3" s="479"/>
      <c r="C3" s="479"/>
      <c r="D3" s="479"/>
      <c r="E3" s="479"/>
      <c r="F3" s="479"/>
      <c r="G3" s="479"/>
      <c r="H3" s="479"/>
      <c r="I3" s="480"/>
    </row>
    <row r="4" spans="1:12" ht="16.5" customHeight="1">
      <c r="A4" s="82" t="s">
        <v>3</v>
      </c>
      <c r="B4" s="529" t="s">
        <v>331</v>
      </c>
      <c r="C4" s="530"/>
      <c r="D4" s="530"/>
      <c r="E4" s="86"/>
      <c r="F4" s="86"/>
      <c r="G4" s="86"/>
      <c r="H4" s="86"/>
      <c r="I4" s="86"/>
    </row>
    <row r="5" spans="1:12" ht="15">
      <c r="A5" s="82" t="s">
        <v>5</v>
      </c>
      <c r="B5" s="464" t="s">
        <v>332</v>
      </c>
      <c r="C5" s="465"/>
      <c r="D5" s="466"/>
      <c r="E5" s="86"/>
      <c r="F5" s="86"/>
      <c r="G5" s="86"/>
      <c r="H5" s="86"/>
      <c r="I5" s="86"/>
    </row>
    <row r="6" spans="1:12" ht="15">
      <c r="A6" s="87" t="s">
        <v>107</v>
      </c>
      <c r="B6" s="496" t="s">
        <v>333</v>
      </c>
      <c r="C6" s="496"/>
      <c r="D6" s="497"/>
      <c r="E6" s="86"/>
      <c r="F6" s="86"/>
      <c r="G6" s="86"/>
      <c r="H6" s="86"/>
      <c r="I6" s="86"/>
    </row>
    <row r="7" spans="1:12" ht="15">
      <c r="A7" s="88" t="s">
        <v>109</v>
      </c>
      <c r="B7" s="163" t="s">
        <v>334</v>
      </c>
      <c r="C7" s="90"/>
      <c r="D7" s="91"/>
      <c r="E7" s="86"/>
      <c r="F7" s="86"/>
      <c r="G7" s="86"/>
      <c r="H7" s="86"/>
      <c r="I7" s="86"/>
    </row>
    <row r="8" spans="1:12" ht="15">
      <c r="A8" s="88" t="s">
        <v>11</v>
      </c>
      <c r="B8" s="186" t="s">
        <v>335</v>
      </c>
      <c r="C8" s="187" t="s">
        <v>336</v>
      </c>
      <c r="D8" s="91"/>
      <c r="E8" s="86"/>
      <c r="F8" s="86"/>
      <c r="G8" s="86"/>
      <c r="H8" s="86"/>
      <c r="I8" s="86"/>
    </row>
    <row r="9" spans="1:12" ht="15">
      <c r="A9" s="88" t="s">
        <v>112</v>
      </c>
      <c r="B9" s="464" t="s">
        <v>248</v>
      </c>
      <c r="C9" s="465"/>
      <c r="D9" s="466"/>
      <c r="E9" s="86"/>
      <c r="F9" s="86"/>
      <c r="G9" s="86"/>
      <c r="H9" s="86"/>
      <c r="I9" s="86"/>
    </row>
    <row r="10" spans="1:12" ht="15">
      <c r="A10" s="467" t="s">
        <v>13</v>
      </c>
      <c r="B10" s="520" t="s">
        <v>337</v>
      </c>
      <c r="C10" s="521"/>
      <c r="D10" s="521"/>
      <c r="E10" s="521"/>
      <c r="F10" s="521"/>
      <c r="G10" s="521"/>
      <c r="H10" s="521"/>
      <c r="I10" s="522"/>
    </row>
    <row r="11" spans="1:12" ht="15">
      <c r="A11" s="467"/>
      <c r="B11" s="523"/>
      <c r="C11" s="524"/>
      <c r="D11" s="524"/>
      <c r="E11" s="524"/>
      <c r="F11" s="524"/>
      <c r="G11" s="524"/>
      <c r="H11" s="524"/>
      <c r="I11" s="525"/>
    </row>
    <row r="12" spans="1:12" ht="15">
      <c r="A12" s="468"/>
      <c r="B12" s="526"/>
      <c r="C12" s="527"/>
      <c r="D12" s="527"/>
      <c r="E12" s="527"/>
      <c r="F12" s="527"/>
      <c r="G12" s="527"/>
      <c r="H12" s="527"/>
      <c r="I12" s="528"/>
    </row>
    <row r="14" spans="1:12" ht="15">
      <c r="A14" s="462" t="s">
        <v>115</v>
      </c>
      <c r="B14" s="463"/>
      <c r="C14" s="463"/>
      <c r="D14" s="463"/>
      <c r="E14" s="463"/>
      <c r="F14" s="463"/>
      <c r="G14" s="463"/>
      <c r="H14" s="463"/>
      <c r="I14" s="463"/>
      <c r="J14" s="463"/>
      <c r="K14" s="463"/>
      <c r="L14" s="463"/>
    </row>
    <row r="15" spans="1:12" ht="15.75">
      <c r="B15" s="94"/>
      <c r="C15" s="95" t="s">
        <v>116</v>
      </c>
      <c r="D15" s="96" t="s">
        <v>117</v>
      </c>
      <c r="E15" s="96" t="s">
        <v>118</v>
      </c>
      <c r="F15" s="96" t="s">
        <v>119</v>
      </c>
      <c r="G15" s="96" t="s">
        <v>120</v>
      </c>
      <c r="H15" s="96" t="s">
        <v>121</v>
      </c>
      <c r="I15" s="96" t="s">
        <v>122</v>
      </c>
      <c r="J15" s="96" t="s">
        <v>123</v>
      </c>
      <c r="K15" s="96" t="s">
        <v>124</v>
      </c>
      <c r="L15" s="96" t="s">
        <v>156</v>
      </c>
    </row>
    <row r="16" spans="1:12" ht="15">
      <c r="B16" s="97" t="s">
        <v>125</v>
      </c>
      <c r="C16" s="98">
        <v>6254</v>
      </c>
      <c r="D16" s="99">
        <v>6952</v>
      </c>
      <c r="E16" s="99">
        <v>7667</v>
      </c>
      <c r="F16" s="99">
        <v>8411</v>
      </c>
      <c r="G16" s="99">
        <v>8910</v>
      </c>
      <c r="H16" s="99">
        <v>9736</v>
      </c>
      <c r="I16" s="99">
        <v>10639</v>
      </c>
      <c r="J16" s="99">
        <v>11625</v>
      </c>
      <c r="K16" s="99">
        <v>12703</v>
      </c>
      <c r="L16" s="99">
        <v>13880</v>
      </c>
    </row>
    <row r="17" spans="1:12" ht="15">
      <c r="B17" s="97" t="s">
        <v>126</v>
      </c>
      <c r="C17" s="100">
        <v>1224</v>
      </c>
      <c r="D17" s="101">
        <v>1479</v>
      </c>
      <c r="E17" s="101">
        <v>1514</v>
      </c>
      <c r="F17" s="103">
        <v>647</v>
      </c>
      <c r="G17" s="101">
        <v>1351</v>
      </c>
      <c r="H17" s="101">
        <v>1603</v>
      </c>
      <c r="I17" s="101">
        <v>1903</v>
      </c>
      <c r="J17" s="101">
        <v>2259</v>
      </c>
      <c r="K17" s="101">
        <v>2681</v>
      </c>
      <c r="L17" s="101">
        <v>3182</v>
      </c>
    </row>
    <row r="18" spans="1:12" ht="15">
      <c r="B18" s="97" t="s">
        <v>127</v>
      </c>
      <c r="C18" s="100">
        <v>1653</v>
      </c>
      <c r="D18" s="101">
        <v>1729</v>
      </c>
      <c r="E18" s="101">
        <v>1869</v>
      </c>
      <c r="F18" s="101">
        <v>2243</v>
      </c>
      <c r="G18" s="101">
        <v>2100</v>
      </c>
      <c r="H18" s="101">
        <v>2238</v>
      </c>
      <c r="I18" s="101">
        <v>2386</v>
      </c>
      <c r="J18" s="101">
        <v>2543</v>
      </c>
      <c r="K18" s="101">
        <v>2710</v>
      </c>
      <c r="L18" s="101">
        <v>2888</v>
      </c>
    </row>
    <row r="19" spans="1:12" ht="15">
      <c r="B19" s="97" t="s">
        <v>128</v>
      </c>
      <c r="C19" s="102">
        <v>11.97</v>
      </c>
      <c r="D19" s="103">
        <v>14.46</v>
      </c>
      <c r="E19" s="103">
        <v>14.8</v>
      </c>
      <c r="F19" s="103">
        <v>6.33</v>
      </c>
      <c r="G19" s="103">
        <v>13.2</v>
      </c>
      <c r="H19" s="103">
        <v>16</v>
      </c>
      <c r="I19" s="103">
        <v>19</v>
      </c>
      <c r="J19" s="103">
        <v>22</v>
      </c>
      <c r="K19" s="103">
        <v>26</v>
      </c>
      <c r="L19" s="103">
        <v>31</v>
      </c>
    </row>
    <row r="20" spans="1:12" ht="15">
      <c r="B20" s="97" t="s">
        <v>129</v>
      </c>
      <c r="C20" s="102">
        <v>0</v>
      </c>
      <c r="D20" s="103">
        <v>0</v>
      </c>
      <c r="E20" s="103">
        <v>0</v>
      </c>
      <c r="F20" s="103">
        <v>15</v>
      </c>
      <c r="G20" s="103">
        <v>20.059999999999999</v>
      </c>
      <c r="H20" s="103">
        <v>22</v>
      </c>
      <c r="I20" s="103">
        <v>24</v>
      </c>
      <c r="J20" s="103">
        <v>26</v>
      </c>
      <c r="K20" s="103">
        <v>28</v>
      </c>
      <c r="L20" s="103">
        <v>30</v>
      </c>
    </row>
    <row r="22" spans="1:12" ht="15">
      <c r="A22" s="494" t="s">
        <v>131</v>
      </c>
      <c r="B22" s="495"/>
      <c r="C22" s="495"/>
      <c r="D22" s="495"/>
      <c r="E22" s="495"/>
      <c r="F22" s="495"/>
      <c r="G22" s="495"/>
      <c r="H22" s="495"/>
      <c r="I22" s="495"/>
      <c r="J22" s="495"/>
      <c r="K22" s="495"/>
      <c r="L22" s="495"/>
    </row>
    <row r="23" spans="1:12" ht="15">
      <c r="B23" s="97" t="s">
        <v>132</v>
      </c>
      <c r="C23" s="159">
        <v>0.18229999999999999</v>
      </c>
      <c r="D23" s="160">
        <v>0.15429999999999999</v>
      </c>
      <c r="E23" s="160">
        <v>0.1234</v>
      </c>
      <c r="F23" s="160">
        <v>-4.4400000000000002E-2</v>
      </c>
      <c r="G23" s="124">
        <v>0.154</v>
      </c>
    </row>
    <row r="24" spans="1:12" ht="15">
      <c r="B24" s="97" t="s">
        <v>92</v>
      </c>
      <c r="C24" s="125">
        <v>16.829999999999998</v>
      </c>
      <c r="D24" s="126">
        <v>17.440000000000001</v>
      </c>
      <c r="E24" s="126">
        <v>16.649999999999999</v>
      </c>
      <c r="F24" s="126">
        <v>-5.48</v>
      </c>
      <c r="G24" s="126">
        <v>65.59</v>
      </c>
    </row>
    <row r="25" spans="1:12" ht="15">
      <c r="B25" s="97" t="s">
        <v>93</v>
      </c>
      <c r="C25" s="125">
        <v>7.89</v>
      </c>
      <c r="D25" s="126">
        <v>6.61</v>
      </c>
      <c r="E25" s="126">
        <v>7.18</v>
      </c>
      <c r="F25" s="126">
        <v>10.16</v>
      </c>
      <c r="G25" s="126">
        <v>9.8699999999999992</v>
      </c>
    </row>
    <row r="26" spans="1:12" ht="15">
      <c r="B26" s="97" t="s">
        <v>95</v>
      </c>
      <c r="C26" s="125">
        <v>30.38</v>
      </c>
      <c r="D26" s="126">
        <v>30.95</v>
      </c>
      <c r="E26" s="126">
        <v>38.35</v>
      </c>
      <c r="F26" s="126">
        <v>40.659999999999997</v>
      </c>
      <c r="G26" s="126">
        <v>36.74</v>
      </c>
    </row>
    <row r="27" spans="1:12" ht="15">
      <c r="B27" s="97" t="s">
        <v>133</v>
      </c>
      <c r="C27" s="127">
        <v>0.02</v>
      </c>
      <c r="D27" s="128">
        <v>0.02</v>
      </c>
      <c r="E27" s="128">
        <v>0.01</v>
      </c>
      <c r="F27" s="128">
        <v>0.01</v>
      </c>
      <c r="G27" s="128">
        <v>1.43E-2</v>
      </c>
    </row>
    <row r="28" spans="1:12" ht="15">
      <c r="B28" s="97" t="s">
        <v>134</v>
      </c>
      <c r="C28" s="125">
        <v>0.06</v>
      </c>
      <c r="D28" s="126">
        <v>0.14000000000000001</v>
      </c>
      <c r="E28" s="126">
        <v>7.0000000000000007E-2</v>
      </c>
      <c r="F28" s="126">
        <v>0.21</v>
      </c>
      <c r="G28" s="126">
        <v>0.33</v>
      </c>
    </row>
    <row r="29" spans="1:12" ht="15">
      <c r="B29" s="94"/>
      <c r="C29" s="94"/>
      <c r="D29" s="94"/>
      <c r="E29" s="94"/>
      <c r="F29" s="94"/>
      <c r="G29" s="94"/>
    </row>
    <row r="30" spans="1:12" ht="15">
      <c r="B30" s="97" t="s">
        <v>201</v>
      </c>
      <c r="C30" s="130">
        <v>27.46</v>
      </c>
      <c r="D30" s="131">
        <v>25.86</v>
      </c>
      <c r="E30" s="131">
        <v>26.19</v>
      </c>
      <c r="F30" s="131">
        <v>32.08</v>
      </c>
      <c r="G30" s="131">
        <v>26.49</v>
      </c>
    </row>
    <row r="31" spans="1:12" ht="15">
      <c r="B31" s="97" t="s">
        <v>207</v>
      </c>
      <c r="C31" s="125">
        <v>55.91</v>
      </c>
      <c r="D31" s="126">
        <v>50.9</v>
      </c>
      <c r="E31" s="126">
        <v>49.6</v>
      </c>
      <c r="F31" s="126">
        <v>56.01</v>
      </c>
      <c r="G31" s="126">
        <v>54.4</v>
      </c>
    </row>
    <row r="32" spans="1:12" ht="15">
      <c r="B32" s="97" t="s">
        <v>209</v>
      </c>
      <c r="C32" s="125">
        <v>149.52000000000001</v>
      </c>
      <c r="D32" s="126">
        <v>50.32</v>
      </c>
      <c r="E32" s="126">
        <v>57.18</v>
      </c>
      <c r="F32" s="126">
        <v>-0.91</v>
      </c>
      <c r="G32" s="126">
        <v>97.41</v>
      </c>
    </row>
    <row r="33" spans="1:10" ht="15">
      <c r="B33" s="97" t="s">
        <v>268</v>
      </c>
      <c r="C33" s="125">
        <v>965.7</v>
      </c>
      <c r="D33" s="126">
        <v>986</v>
      </c>
      <c r="E33" s="126">
        <v>1187</v>
      </c>
      <c r="F33" s="126">
        <v>1645</v>
      </c>
      <c r="G33" s="126" t="s">
        <v>176</v>
      </c>
    </row>
    <row r="34" spans="1:10" ht="15">
      <c r="B34" s="97" t="s">
        <v>215</v>
      </c>
      <c r="C34" s="125">
        <v>3.18</v>
      </c>
      <c r="D34" s="126">
        <v>0.77</v>
      </c>
      <c r="E34" s="126">
        <v>0.97</v>
      </c>
      <c r="F34" s="126">
        <v>0.98</v>
      </c>
      <c r="G34" s="126" t="s">
        <v>176</v>
      </c>
    </row>
    <row r="35" spans="1:10" ht="15">
      <c r="B35" s="97" t="s">
        <v>216</v>
      </c>
      <c r="C35" s="125" t="s">
        <v>242</v>
      </c>
      <c r="D35" s="126" t="s">
        <v>242</v>
      </c>
      <c r="E35" s="126" t="s">
        <v>242</v>
      </c>
      <c r="F35" s="126" t="s">
        <v>242</v>
      </c>
      <c r="G35" s="126" t="s">
        <v>242</v>
      </c>
    </row>
    <row r="37" spans="1:10" ht="15">
      <c r="A37" s="509" t="s">
        <v>141</v>
      </c>
      <c r="B37" s="510"/>
      <c r="C37" s="510"/>
      <c r="D37" s="510"/>
      <c r="E37" s="510"/>
      <c r="F37" s="510"/>
      <c r="G37" s="510"/>
      <c r="H37" s="510"/>
      <c r="I37" s="510"/>
      <c r="J37" s="510"/>
    </row>
    <row r="38" spans="1:10" ht="15.75" customHeight="1">
      <c r="B38" s="514" t="s">
        <v>142</v>
      </c>
      <c r="C38" s="488">
        <v>3</v>
      </c>
      <c r="D38" s="490" t="s">
        <v>338</v>
      </c>
      <c r="E38" s="490"/>
      <c r="F38" s="490"/>
      <c r="G38" s="490"/>
      <c r="H38" s="490"/>
      <c r="I38" s="490"/>
      <c r="J38" s="490"/>
    </row>
    <row r="39" spans="1:10" ht="15.75" customHeight="1">
      <c r="B39" s="487"/>
      <c r="C39" s="489"/>
      <c r="D39" s="491"/>
      <c r="E39" s="491"/>
      <c r="F39" s="491"/>
      <c r="G39" s="491"/>
      <c r="H39" s="491"/>
      <c r="I39" s="491"/>
      <c r="J39" s="491"/>
    </row>
    <row r="40" spans="1:10" ht="15.75" customHeight="1">
      <c r="B40" s="487" t="s">
        <v>143</v>
      </c>
      <c r="C40" s="488">
        <v>4</v>
      </c>
      <c r="D40" s="490" t="s">
        <v>339</v>
      </c>
      <c r="E40" s="490"/>
      <c r="F40" s="490"/>
      <c r="G40" s="490"/>
      <c r="H40" s="490"/>
      <c r="I40" s="490"/>
      <c r="J40" s="490"/>
    </row>
    <row r="41" spans="1:10" ht="18" customHeight="1">
      <c r="B41" s="487"/>
      <c r="C41" s="489"/>
      <c r="D41" s="491"/>
      <c r="E41" s="491"/>
      <c r="F41" s="491"/>
      <c r="G41" s="491"/>
      <c r="H41" s="491"/>
      <c r="I41" s="491"/>
      <c r="J41" s="491"/>
    </row>
    <row r="42" spans="1:10" ht="20.25" customHeight="1">
      <c r="B42" s="487" t="s">
        <v>144</v>
      </c>
      <c r="C42" s="488">
        <v>3</v>
      </c>
      <c r="D42" s="490" t="s">
        <v>340</v>
      </c>
      <c r="E42" s="490"/>
      <c r="F42" s="490"/>
      <c r="G42" s="490"/>
      <c r="H42" s="490"/>
      <c r="I42" s="490"/>
      <c r="J42" s="490"/>
    </row>
    <row r="43" spans="1:10" ht="20.25" customHeight="1">
      <c r="B43" s="487"/>
      <c r="C43" s="489"/>
      <c r="D43" s="491"/>
      <c r="E43" s="491"/>
      <c r="F43" s="491"/>
      <c r="G43" s="491"/>
      <c r="H43" s="491"/>
      <c r="I43" s="491"/>
      <c r="J43" s="491"/>
    </row>
    <row r="44" spans="1:10" ht="31.5" customHeight="1">
      <c r="B44" s="107" t="s">
        <v>145</v>
      </c>
      <c r="C44" s="105">
        <v>4</v>
      </c>
      <c r="D44" s="490" t="s">
        <v>341</v>
      </c>
      <c r="E44" s="490"/>
      <c r="F44" s="490"/>
      <c r="G44" s="490"/>
      <c r="H44" s="490"/>
      <c r="I44" s="490"/>
      <c r="J44" s="490"/>
    </row>
    <row r="46" spans="1:10" ht="14.45" customHeight="1">
      <c r="A46" s="511" t="s">
        <v>146</v>
      </c>
      <c r="B46" s="512"/>
      <c r="C46" s="512"/>
      <c r="D46" s="512"/>
      <c r="E46" s="512"/>
      <c r="F46" s="512"/>
      <c r="G46" s="512"/>
      <c r="H46" s="512"/>
      <c r="I46" s="512"/>
      <c r="J46" s="512"/>
    </row>
    <row r="48" spans="1:10" ht="15">
      <c r="A48" s="188" t="s">
        <v>253</v>
      </c>
      <c r="B48" s="189" t="s">
        <v>254</v>
      </c>
    </row>
    <row r="49" spans="1:2" ht="15">
      <c r="A49" s="22" t="s">
        <v>342</v>
      </c>
      <c r="B49" s="22" t="s">
        <v>343</v>
      </c>
    </row>
    <row r="50" spans="1:2" ht="15">
      <c r="A50" s="22" t="s">
        <v>344</v>
      </c>
      <c r="B50" s="22" t="s">
        <v>345</v>
      </c>
    </row>
    <row r="51" spans="1:2" ht="15">
      <c r="A51" s="22" t="s">
        <v>346</v>
      </c>
      <c r="B51" s="22" t="s">
        <v>347</v>
      </c>
    </row>
    <row r="52" spans="1:2" ht="15">
      <c r="A52" s="22" t="s">
        <v>348</v>
      </c>
      <c r="B52" s="22" t="s">
        <v>349</v>
      </c>
    </row>
    <row r="53" spans="1:2" ht="15">
      <c r="A53" s="22" t="s">
        <v>350</v>
      </c>
      <c r="B53" s="22" t="s">
        <v>351</v>
      </c>
    </row>
    <row r="54" spans="1:2" ht="15">
      <c r="A54" s="22" t="s">
        <v>352</v>
      </c>
    </row>
  </sheetData>
  <mergeCells count="22">
    <mergeCell ref="D44:J44"/>
    <mergeCell ref="A37:J37"/>
    <mergeCell ref="A46:J46"/>
    <mergeCell ref="C42:C43"/>
    <mergeCell ref="D38:J39"/>
    <mergeCell ref="D40:J41"/>
    <mergeCell ref="D42:J43"/>
    <mergeCell ref="B40:B41"/>
    <mergeCell ref="B38:B39"/>
    <mergeCell ref="C38:C39"/>
    <mergeCell ref="C40:C41"/>
    <mergeCell ref="B42:B43"/>
    <mergeCell ref="A14:L14"/>
    <mergeCell ref="A22:L22"/>
    <mergeCell ref="A1:I1"/>
    <mergeCell ref="A3:I3"/>
    <mergeCell ref="B5:D5"/>
    <mergeCell ref="B6:D6"/>
    <mergeCell ref="B9:D9"/>
    <mergeCell ref="A10:A12"/>
    <mergeCell ref="B10:I12"/>
    <mergeCell ref="B4:D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D6D54-DCDA-4E37-ADF4-FE47E9E0B9A5}">
  <dimension ref="A1:R51"/>
  <sheetViews>
    <sheetView workbookViewId="0">
      <selection activeCell="E48" sqref="E48"/>
    </sheetView>
  </sheetViews>
  <sheetFormatPr defaultColWidth="9.140625" defaultRowHeight="14.45" customHeight="1"/>
  <cols>
    <col min="1" max="1" width="36.5703125" style="81" bestFit="1" customWidth="1"/>
    <col min="2" max="2" width="29.42578125" style="81" customWidth="1"/>
    <col min="3" max="3" width="9.140625" style="81" customWidth="1"/>
    <col min="4" max="4" width="7.7109375" style="81" bestFit="1" customWidth="1"/>
    <col min="5" max="5" width="9.140625" style="81" customWidth="1"/>
    <col min="6" max="7" width="7.7109375" style="81" bestFit="1" customWidth="1"/>
    <col min="8" max="8" width="8.85546875" style="81" bestFit="1" customWidth="1"/>
    <col min="9" max="9" width="9.140625" style="81" customWidth="1"/>
    <col min="10" max="16384" width="9.140625" style="81"/>
  </cols>
  <sheetData>
    <row r="1" spans="1:12" ht="15.75">
      <c r="A1" s="481" t="s">
        <v>103</v>
      </c>
      <c r="B1" s="482"/>
      <c r="C1" s="482"/>
      <c r="D1" s="482"/>
      <c r="E1" s="482"/>
      <c r="F1" s="482"/>
      <c r="G1" s="482"/>
      <c r="H1" s="482"/>
      <c r="I1" s="483"/>
    </row>
    <row r="3" spans="1:12" ht="15">
      <c r="A3" s="484" t="s">
        <v>104</v>
      </c>
      <c r="B3" s="479"/>
      <c r="C3" s="479"/>
      <c r="D3" s="479"/>
      <c r="E3" s="479"/>
      <c r="F3" s="479"/>
      <c r="G3" s="479"/>
      <c r="H3" s="479"/>
      <c r="I3" s="480"/>
    </row>
    <row r="4" spans="1:12" ht="15">
      <c r="A4" s="82" t="s">
        <v>3</v>
      </c>
      <c r="B4" s="84" t="s">
        <v>353</v>
      </c>
      <c r="C4" s="84" t="s">
        <v>242</v>
      </c>
      <c r="D4" s="85" t="s">
        <v>242</v>
      </c>
      <c r="E4" s="86"/>
      <c r="F4" s="86"/>
      <c r="G4" s="86"/>
      <c r="H4" s="86"/>
      <c r="I4" s="86"/>
    </row>
    <row r="5" spans="1:12" ht="15">
      <c r="A5" s="82" t="s">
        <v>5</v>
      </c>
      <c r="B5" s="464" t="s">
        <v>243</v>
      </c>
      <c r="C5" s="465"/>
      <c r="D5" s="466"/>
      <c r="E5" s="86"/>
      <c r="F5" s="86"/>
      <c r="G5" s="86"/>
      <c r="H5" s="86"/>
      <c r="I5" s="86"/>
    </row>
    <row r="6" spans="1:12" ht="15">
      <c r="A6" s="87" t="s">
        <v>107</v>
      </c>
      <c r="B6" s="531" t="s">
        <v>354</v>
      </c>
      <c r="C6" s="531"/>
      <c r="D6" s="532"/>
      <c r="E6" s="86"/>
      <c r="F6" s="86"/>
      <c r="G6" s="86"/>
      <c r="H6" s="86"/>
      <c r="I6" s="86"/>
    </row>
    <row r="7" spans="1:12" ht="15">
      <c r="A7" s="88" t="s">
        <v>109</v>
      </c>
      <c r="B7" s="163" t="s">
        <v>355</v>
      </c>
      <c r="C7" s="90"/>
      <c r="D7" s="91"/>
      <c r="E7" s="86"/>
      <c r="F7" s="86"/>
      <c r="G7" s="86"/>
      <c r="H7" s="86"/>
      <c r="I7" s="86"/>
    </row>
    <row r="8" spans="1:12" ht="15">
      <c r="A8" s="88" t="s">
        <v>11</v>
      </c>
      <c r="B8" s="92" t="s">
        <v>356</v>
      </c>
      <c r="C8" s="90"/>
      <c r="D8" s="91"/>
      <c r="E8" s="86"/>
      <c r="F8" s="86"/>
      <c r="G8" s="86"/>
      <c r="H8" s="86"/>
      <c r="I8" s="86"/>
    </row>
    <row r="9" spans="1:12" ht="15">
      <c r="A9" s="88" t="s">
        <v>112</v>
      </c>
      <c r="B9" s="515" t="s">
        <v>266</v>
      </c>
      <c r="C9" s="516"/>
      <c r="D9" s="517"/>
      <c r="E9" s="86"/>
      <c r="F9" s="86"/>
      <c r="G9" s="86"/>
      <c r="H9" s="86"/>
      <c r="I9" s="86"/>
    </row>
    <row r="10" spans="1:12" ht="15">
      <c r="A10" s="518" t="s">
        <v>13</v>
      </c>
      <c r="B10" s="533" t="s">
        <v>357</v>
      </c>
      <c r="C10" s="521"/>
      <c r="D10" s="521"/>
      <c r="E10" s="521"/>
      <c r="F10" s="521"/>
      <c r="G10" s="521"/>
      <c r="H10" s="521"/>
      <c r="I10" s="522"/>
    </row>
    <row r="11" spans="1:12" ht="15">
      <c r="A11" s="518"/>
      <c r="B11" s="523"/>
      <c r="C11" s="524"/>
      <c r="D11" s="524"/>
      <c r="E11" s="524"/>
      <c r="F11" s="524"/>
      <c r="G11" s="524"/>
      <c r="H11" s="524"/>
      <c r="I11" s="525"/>
    </row>
    <row r="12" spans="1:12" ht="15">
      <c r="A12" s="519"/>
      <c r="B12" s="526"/>
      <c r="C12" s="527"/>
      <c r="D12" s="527"/>
      <c r="E12" s="527"/>
      <c r="F12" s="527"/>
      <c r="G12" s="527"/>
      <c r="H12" s="527"/>
      <c r="I12" s="528"/>
    </row>
    <row r="14" spans="1:12" ht="15">
      <c r="A14" s="478" t="s">
        <v>115</v>
      </c>
      <c r="B14" s="479"/>
      <c r="C14" s="479"/>
      <c r="D14" s="479"/>
      <c r="E14" s="479"/>
      <c r="F14" s="479"/>
      <c r="G14" s="479"/>
      <c r="H14" s="479"/>
      <c r="I14" s="480"/>
    </row>
    <row r="15" spans="1:12" ht="15.75">
      <c r="B15" s="94"/>
      <c r="C15" s="190" t="s">
        <v>116</v>
      </c>
      <c r="D15" s="191" t="s">
        <v>117</v>
      </c>
      <c r="E15" s="191" t="s">
        <v>118</v>
      </c>
      <c r="F15" s="191" t="s">
        <v>119</v>
      </c>
      <c r="G15" s="191" t="s">
        <v>120</v>
      </c>
      <c r="H15" s="112" t="s">
        <v>121</v>
      </c>
      <c r="I15" s="112" t="s">
        <v>122</v>
      </c>
      <c r="J15" s="112" t="s">
        <v>123</v>
      </c>
      <c r="K15" s="112" t="s">
        <v>124</v>
      </c>
      <c r="L15" s="112" t="s">
        <v>156</v>
      </c>
    </row>
    <row r="16" spans="1:12" ht="15">
      <c r="B16" s="97" t="s">
        <v>125</v>
      </c>
      <c r="C16" s="192">
        <v>9562</v>
      </c>
      <c r="D16" s="193">
        <v>10889</v>
      </c>
      <c r="E16" s="194">
        <v>11530</v>
      </c>
      <c r="F16" s="192">
        <v>12404</v>
      </c>
      <c r="G16" s="195">
        <v>12563</v>
      </c>
      <c r="H16" s="126">
        <f>_xlfn.FORECAST.LINEAR(2026,C16:G16,{2021,2022,2023,2024,2025})</f>
        <v>13644.700000000186</v>
      </c>
      <c r="I16" s="126">
        <f>_xlfn.FORECAST.LINEAR(2026,D16:H16,{2021,2022,2023,2024,2025})</f>
        <v>14169.460000000196</v>
      </c>
      <c r="J16" s="126">
        <f>_xlfn.FORECAST.LINEAR(2026,E16:I16,{2021,2022,2023,2024,2025})</f>
        <v>14818.11800000025</v>
      </c>
      <c r="K16" s="126">
        <f>_xlfn.FORECAST.LINEAR(2026,F16:J16,{2021,2022,2023,2024,2025})</f>
        <v>15450.264400000218</v>
      </c>
      <c r="L16" s="126">
        <f>_xlfn.FORECAST.LINEAR(2026,G16:K16,{2021,2022,2023,2024,2025})</f>
        <v>16213.49252000032</v>
      </c>
    </row>
    <row r="17" spans="1:18" ht="15">
      <c r="B17" s="97" t="s">
        <v>126</v>
      </c>
      <c r="C17" s="192">
        <v>1695</v>
      </c>
      <c r="D17" s="196">
        <v>1742</v>
      </c>
      <c r="E17" s="197">
        <v>1701</v>
      </c>
      <c r="F17" s="198">
        <v>1811</v>
      </c>
      <c r="G17" s="195">
        <v>1740</v>
      </c>
      <c r="H17" s="126">
        <f>_xlfn.FORECAST.LINEAR(2026,C17:G17,{2021,2022,2023,2024,2025})</f>
        <v>1785.5</v>
      </c>
      <c r="I17" s="126">
        <f>_xlfn.FORECAST.LINEAR(2026,D17:H17,{2021,2022,2023,2024,2025})</f>
        <v>1793.7000000000007</v>
      </c>
      <c r="J17" s="126">
        <f>_xlfn.FORECAST.LINEAR(2026,E17:I17,{2021,2022,2023,2024,2025})</f>
        <v>1814.2100000000028</v>
      </c>
      <c r="K17" s="126">
        <f>_xlfn.FORECAST.LINEAR(2026,F17:J17,{2021,2022,2023,2024,2025})</f>
        <v>1806.9180000000033</v>
      </c>
      <c r="L17" s="126">
        <f>_xlfn.FORECAST.LINEAR(2026,G17:K17,{2021,2022,2023,2024,2025})</f>
        <v>1836.8294000000096</v>
      </c>
    </row>
    <row r="18" spans="1:18" ht="15">
      <c r="B18" s="97" t="s">
        <v>127</v>
      </c>
      <c r="C18" s="199">
        <v>2327</v>
      </c>
      <c r="D18" s="200">
        <v>2560</v>
      </c>
      <c r="E18" s="200">
        <v>2608</v>
      </c>
      <c r="F18" s="201">
        <v>2882</v>
      </c>
      <c r="G18" s="162">
        <v>2867</v>
      </c>
      <c r="H18" s="126">
        <f>_xlfn.FORECAST.LINEAR(2026,C18:G18,{2021,2022,2023,2024,2025})</f>
        <v>3069.3999999999651</v>
      </c>
      <c r="I18" s="126">
        <f>_xlfn.FORECAST.LINEAR(2026,D18:H18,{2021,2022,2023,2024,2025})</f>
        <v>3180.6199999999662</v>
      </c>
      <c r="J18" s="126">
        <f>_xlfn.FORECAST.LINEAR(2026,E18:I18,{2021,2022,2023,2024,2025})</f>
        <v>3321.1959999999381</v>
      </c>
      <c r="K18" s="126">
        <f>_xlfn.FORECAST.LINEAR(2026,F18:J18,{2021,2022,2023,2024,2025})</f>
        <v>3421.6467999999586</v>
      </c>
      <c r="L18" s="126">
        <f>_xlfn.FORECAST.LINEAR(2026,G18:K18,{2021,2022,2023,2024,2025})</f>
        <v>3580.2994399999734</v>
      </c>
    </row>
    <row r="19" spans="1:18" ht="15">
      <c r="B19" s="97" t="s">
        <v>128</v>
      </c>
      <c r="C19" s="202">
        <v>9.58</v>
      </c>
      <c r="D19" s="203">
        <v>9.84</v>
      </c>
      <c r="E19" s="203">
        <v>9.64</v>
      </c>
      <c r="F19" s="204">
        <v>10.4</v>
      </c>
      <c r="G19" s="205">
        <v>9.9700000000000006</v>
      </c>
      <c r="H19" s="206">
        <f>_xlfn.FORECAST.LINEAR(2026,C19:G19,{2021,2022,2023,2024,2025})</f>
        <v>10.288000000000068</v>
      </c>
      <c r="I19" s="206">
        <f>_xlfn.FORECAST.LINEAR(2026,D19:H19,{2021,2022,2023,2024,2025})</f>
        <v>10.395400000000052</v>
      </c>
      <c r="J19" s="206">
        <f>_xlfn.FORECAST.LINEAR(2026,E19:I19,{2021,2022,2023,2024,2025})</f>
        <v>10.558320000000037</v>
      </c>
      <c r="K19" s="206">
        <f>_xlfn.FORECAST.LINEAR(2026,F19:J19,{2021,2022,2023,2024,2025})</f>
        <v>10.54495600000007</v>
      </c>
      <c r="L19" s="206">
        <f>_xlfn.FORECAST.LINEAR(2026,G19:K19,{2021,2022,2023,2024,2025})</f>
        <v>10.777404800000056</v>
      </c>
    </row>
    <row r="20" spans="1:18" ht="15">
      <c r="B20" s="97" t="s">
        <v>129</v>
      </c>
      <c r="C20" s="125">
        <v>4.75</v>
      </c>
      <c r="D20" s="126">
        <v>5.2</v>
      </c>
      <c r="E20" s="126">
        <v>5.2</v>
      </c>
      <c r="F20" s="207">
        <v>5.5</v>
      </c>
      <c r="G20" s="208">
        <v>8</v>
      </c>
      <c r="H20" s="209">
        <f>_xlfn.FORECAST.LINEAR(2026,C20:G20,{2021,2022,2023,2024,2025})</f>
        <v>7.7699999999999818</v>
      </c>
      <c r="I20" s="210">
        <f>_xlfn.FORECAST.LINEAR(2026,D20:H20,{2021,2022,2023,2024,2025})</f>
        <v>8.7160000000001219</v>
      </c>
      <c r="J20" s="210">
        <f>_xlfn.FORECAST.LINEAR(2026,E20:I20,{2021,2022,2023,2024,2025})</f>
        <v>9.8278000000000247</v>
      </c>
      <c r="K20" s="210">
        <f>_xlfn.FORECAST.LINEAR(2026,F20:J20,{2021,2022,2023,2024,2025})</f>
        <v>10.774239999999963</v>
      </c>
      <c r="L20" s="210">
        <f>_xlfn.FORECAST.LINEAR(2026,G20:K20,{2021,2022,2023,2024,2025})</f>
        <v>11.2994920000001</v>
      </c>
    </row>
    <row r="21" spans="1:18" ht="15"/>
    <row r="22" spans="1:18" ht="15">
      <c r="A22" s="478" t="s">
        <v>131</v>
      </c>
      <c r="B22" s="479"/>
      <c r="C22" s="492"/>
      <c r="D22" s="492"/>
      <c r="E22" s="492"/>
      <c r="F22" s="492"/>
      <c r="G22" s="492"/>
      <c r="H22" s="479"/>
      <c r="I22" s="480"/>
    </row>
    <row r="23" spans="1:18" ht="17.25">
      <c r="B23" s="97" t="s">
        <v>132</v>
      </c>
      <c r="C23" s="123">
        <v>0.2364</v>
      </c>
      <c r="D23" s="123">
        <v>0.21609999999999999</v>
      </c>
      <c r="E23" s="123">
        <v>0.1905</v>
      </c>
      <c r="F23" s="123">
        <v>0.1835</v>
      </c>
      <c r="G23" s="123">
        <v>0.16800000000000001</v>
      </c>
      <c r="N23" s="211"/>
      <c r="O23" s="211"/>
      <c r="P23" s="211"/>
      <c r="Q23" s="211"/>
      <c r="R23" s="211"/>
    </row>
    <row r="24" spans="1:18" ht="17.25">
      <c r="B24" s="97" t="s">
        <v>92</v>
      </c>
      <c r="C24" s="130">
        <v>56.4</v>
      </c>
      <c r="D24" s="130">
        <v>54.7</v>
      </c>
      <c r="E24" s="130">
        <v>56.55</v>
      </c>
      <c r="F24" s="130">
        <v>50.2</v>
      </c>
      <c r="G24" s="130">
        <v>50.78</v>
      </c>
      <c r="N24" s="212"/>
      <c r="O24" s="212"/>
      <c r="P24" s="212"/>
      <c r="Q24" s="212"/>
      <c r="R24" s="212"/>
    </row>
    <row r="25" spans="1:18" ht="15">
      <c r="B25" s="97" t="s">
        <v>93</v>
      </c>
      <c r="C25" s="162">
        <v>12.5</v>
      </c>
      <c r="D25" s="162">
        <v>11.5</v>
      </c>
      <c r="E25" s="130">
        <v>10.23</v>
      </c>
      <c r="F25" s="130">
        <v>9</v>
      </c>
      <c r="G25" s="130">
        <v>8.01</v>
      </c>
    </row>
    <row r="26" spans="1:18" ht="15">
      <c r="B26" s="97" t="s">
        <v>95</v>
      </c>
      <c r="C26" s="130">
        <v>47.58</v>
      </c>
      <c r="D26" s="130">
        <v>42.27</v>
      </c>
      <c r="E26" s="130">
        <v>44.99</v>
      </c>
      <c r="F26" s="130">
        <v>38.799999999999997</v>
      </c>
      <c r="G26" s="130">
        <v>38.54</v>
      </c>
    </row>
    <row r="27" spans="1:18" ht="17.25">
      <c r="B27" s="97" t="s">
        <v>133</v>
      </c>
      <c r="C27" s="123">
        <v>9.1000000000000004E-3</v>
      </c>
      <c r="D27" s="123">
        <v>0.01</v>
      </c>
      <c r="E27" s="123">
        <v>9.7000000000000003E-3</v>
      </c>
      <c r="F27" s="123">
        <v>1.06E-2</v>
      </c>
      <c r="G27" s="123">
        <v>1.14E-2</v>
      </c>
      <c r="M27" s="211"/>
      <c r="N27" s="211"/>
      <c r="O27" s="211"/>
      <c r="P27" s="211"/>
      <c r="Q27" s="211"/>
    </row>
    <row r="28" spans="1:18" ht="15">
      <c r="B28" s="97" t="s">
        <v>134</v>
      </c>
      <c r="C28" s="130">
        <v>7.0000000000000007E-2</v>
      </c>
      <c r="D28" s="130">
        <v>0.12</v>
      </c>
      <c r="E28" s="130">
        <v>0.12</v>
      </c>
      <c r="F28" s="130">
        <v>0.13</v>
      </c>
      <c r="G28" s="130">
        <v>0.16</v>
      </c>
    </row>
    <row r="29" spans="1:18" ht="15">
      <c r="B29" s="94"/>
      <c r="C29" s="94"/>
      <c r="D29" s="94"/>
      <c r="E29" s="94"/>
      <c r="F29" s="94"/>
      <c r="G29" s="94"/>
    </row>
    <row r="30" spans="1:18" ht="15">
      <c r="B30" s="97" t="s">
        <v>201</v>
      </c>
      <c r="C30" s="213">
        <f>C18/C16</f>
        <v>0.24335912988914454</v>
      </c>
      <c r="D30" s="213">
        <f t="shared" ref="D30:G30" si="0">D18/D16</f>
        <v>0.2350996418403894</v>
      </c>
      <c r="E30" s="213">
        <f t="shared" si="0"/>
        <v>0.22619254119687771</v>
      </c>
      <c r="F30" s="213">
        <f t="shared" si="0"/>
        <v>0.23234440503063528</v>
      </c>
      <c r="G30" s="213">
        <f t="shared" si="0"/>
        <v>0.22820982249462707</v>
      </c>
    </row>
    <row r="31" spans="1:18" ht="15">
      <c r="B31" s="97" t="s">
        <v>207</v>
      </c>
      <c r="C31" s="213">
        <v>0.49299999999999999</v>
      </c>
      <c r="D31" s="213">
        <v>0.47399999999999998</v>
      </c>
      <c r="E31" s="213">
        <v>0.45040000000000002</v>
      </c>
      <c r="F31" s="213">
        <v>0.47599999999999998</v>
      </c>
      <c r="G31" s="213">
        <v>0.47899999999999998</v>
      </c>
    </row>
    <row r="32" spans="1:18" ht="15">
      <c r="B32" s="97" t="s">
        <v>209</v>
      </c>
      <c r="C32" s="122">
        <v>14.1</v>
      </c>
      <c r="D32" s="122">
        <v>18.100000000000001</v>
      </c>
      <c r="E32" s="122">
        <v>21.7</v>
      </c>
      <c r="F32" s="122">
        <v>13.2</v>
      </c>
      <c r="G32" s="122" t="s">
        <v>176</v>
      </c>
    </row>
    <row r="33" spans="1:10" ht="30">
      <c r="B33" s="132" t="s">
        <v>268</v>
      </c>
      <c r="C33" s="214">
        <v>784.36</v>
      </c>
      <c r="D33" s="214">
        <v>777.9</v>
      </c>
      <c r="E33" s="214">
        <v>640.27</v>
      </c>
      <c r="F33" s="214">
        <v>849.06</v>
      </c>
      <c r="G33" s="122" t="s">
        <v>176</v>
      </c>
    </row>
    <row r="34" spans="1:10" ht="15">
      <c r="B34" s="97" t="s">
        <v>215</v>
      </c>
      <c r="C34" s="122">
        <v>42.69</v>
      </c>
      <c r="D34" s="122">
        <v>41.72</v>
      </c>
      <c r="E34" s="122">
        <v>47.5</v>
      </c>
      <c r="F34" s="122">
        <v>44.23</v>
      </c>
      <c r="G34" s="122" t="s">
        <v>176</v>
      </c>
    </row>
    <row r="35" spans="1:10" ht="15">
      <c r="B35" s="97" t="s">
        <v>216</v>
      </c>
      <c r="C35" s="122" t="s">
        <v>176</v>
      </c>
      <c r="D35" s="122" t="s">
        <v>176</v>
      </c>
      <c r="E35" s="122" t="s">
        <v>176</v>
      </c>
      <c r="F35" s="122" t="s">
        <v>176</v>
      </c>
      <c r="G35" s="122" t="s">
        <v>176</v>
      </c>
    </row>
    <row r="37" spans="1:10" ht="15">
      <c r="A37" s="478" t="s">
        <v>141</v>
      </c>
      <c r="B37" s="492"/>
      <c r="C37" s="492"/>
      <c r="D37" s="492"/>
      <c r="E37" s="492"/>
      <c r="F37" s="492"/>
      <c r="G37" s="492"/>
      <c r="H37" s="492"/>
      <c r="I37" s="493"/>
    </row>
    <row r="38" spans="1:10" ht="91.5" customHeight="1">
      <c r="B38" s="215" t="s">
        <v>142</v>
      </c>
      <c r="C38" s="173">
        <v>4</v>
      </c>
      <c r="D38" s="534" t="s">
        <v>358</v>
      </c>
      <c r="E38" s="534"/>
      <c r="F38" s="534"/>
      <c r="G38" s="534"/>
      <c r="H38" s="534"/>
      <c r="I38" s="534"/>
      <c r="J38" s="534"/>
    </row>
    <row r="39" spans="1:10" ht="90.75" customHeight="1">
      <c r="B39" s="215" t="s">
        <v>143</v>
      </c>
      <c r="C39" s="173">
        <v>3.5</v>
      </c>
      <c r="D39" s="534" t="s">
        <v>359</v>
      </c>
      <c r="E39" s="534"/>
      <c r="F39" s="534"/>
      <c r="G39" s="534"/>
      <c r="H39" s="534"/>
      <c r="I39" s="534"/>
      <c r="J39" s="534"/>
    </row>
    <row r="40" spans="1:10" ht="90.75" customHeight="1">
      <c r="B40" s="215" t="s">
        <v>144</v>
      </c>
      <c r="C40" s="173">
        <v>4</v>
      </c>
      <c r="D40" s="534" t="s">
        <v>360</v>
      </c>
      <c r="E40" s="534"/>
      <c r="F40" s="534"/>
      <c r="G40" s="534"/>
      <c r="H40" s="534"/>
      <c r="I40" s="534"/>
      <c r="J40" s="534"/>
    </row>
    <row r="41" spans="1:10" ht="90.75" customHeight="1">
      <c r="B41" s="215" t="s">
        <v>145</v>
      </c>
      <c r="C41" s="173">
        <v>4</v>
      </c>
      <c r="D41" s="534" t="s">
        <v>361</v>
      </c>
      <c r="E41" s="534"/>
      <c r="F41" s="534"/>
      <c r="G41" s="534"/>
      <c r="H41" s="534"/>
      <c r="I41" s="534"/>
      <c r="J41" s="534"/>
    </row>
    <row r="42" spans="1:10" ht="15"/>
    <row r="43" spans="1:10" ht="15">
      <c r="A43" s="511" t="s">
        <v>146</v>
      </c>
      <c r="B43" s="512"/>
      <c r="C43" s="512"/>
      <c r="D43" s="512"/>
      <c r="E43" s="512"/>
      <c r="F43" s="512"/>
      <c r="G43" s="512"/>
      <c r="H43" s="512"/>
      <c r="I43" s="512"/>
      <c r="J43" s="512"/>
    </row>
    <row r="45" spans="1:10" ht="15">
      <c r="A45" s="216" t="s">
        <v>253</v>
      </c>
      <c r="B45" s="217" t="s">
        <v>254</v>
      </c>
    </row>
    <row r="46" spans="1:10" ht="45">
      <c r="A46" s="143" t="s">
        <v>362</v>
      </c>
      <c r="B46" s="144" t="s">
        <v>363</v>
      </c>
    </row>
    <row r="47" spans="1:10" ht="45">
      <c r="A47" s="218" t="s">
        <v>364</v>
      </c>
      <c r="B47" s="146" t="s">
        <v>365</v>
      </c>
    </row>
    <row r="48" spans="1:10" ht="60">
      <c r="A48" s="180" t="s">
        <v>366</v>
      </c>
      <c r="B48" s="147" t="s">
        <v>367</v>
      </c>
    </row>
    <row r="49" spans="1:2" ht="60">
      <c r="A49" s="219" t="s">
        <v>368</v>
      </c>
      <c r="B49" s="145" t="s">
        <v>369</v>
      </c>
    </row>
    <row r="50" spans="1:2" ht="45">
      <c r="A50" s="144" t="s">
        <v>370</v>
      </c>
      <c r="B50" s="147" t="s">
        <v>371</v>
      </c>
    </row>
    <row r="51" spans="1:2" ht="45">
      <c r="A51" s="220" t="s">
        <v>372</v>
      </c>
      <c r="B51" s="154"/>
    </row>
  </sheetData>
  <mergeCells count="15">
    <mergeCell ref="A14:I14"/>
    <mergeCell ref="A22:I22"/>
    <mergeCell ref="A37:I37"/>
    <mergeCell ref="A43:J43"/>
    <mergeCell ref="A1:I1"/>
    <mergeCell ref="A3:I3"/>
    <mergeCell ref="B5:D5"/>
    <mergeCell ref="B6:D6"/>
    <mergeCell ref="B9:D9"/>
    <mergeCell ref="A10:A12"/>
    <mergeCell ref="B10:I12"/>
    <mergeCell ref="D38:J38"/>
    <mergeCell ref="D39:J39"/>
    <mergeCell ref="D40:J40"/>
    <mergeCell ref="D41:J41"/>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40DC-AF47-4D71-B89D-182C229F2CEC}">
  <sheetPr>
    <tabColor rgb="FF002060"/>
  </sheetPr>
  <dimension ref="A1"/>
  <sheetViews>
    <sheetView workbookViewId="0">
      <selection activeCell="I29" sqref="I29"/>
    </sheetView>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3AA19-5654-413F-8F94-A2B71AC2B9A5}">
  <sheetPr>
    <outlinePr summaryBelow="0" summaryRight="0"/>
  </sheetPr>
  <dimension ref="B2:S1003"/>
  <sheetViews>
    <sheetView showGridLines="0" zoomScale="80" zoomScaleNormal="80" workbookViewId="0">
      <selection activeCell="N51" sqref="N51"/>
    </sheetView>
  </sheetViews>
  <sheetFormatPr defaultColWidth="14.42578125" defaultRowHeight="15" customHeight="1"/>
  <cols>
    <col min="1" max="1" width="14.42578125" style="81" customWidth="1"/>
    <col min="2" max="2" width="28.5703125" style="81" bestFit="1" customWidth="1"/>
    <col min="3" max="3" width="22.140625" style="81" customWidth="1"/>
    <col min="4" max="4" width="19.28515625" style="81" customWidth="1"/>
    <col min="5" max="5" width="16.7109375" style="81" customWidth="1"/>
    <col min="6" max="6" width="17.28515625" style="81" customWidth="1"/>
    <col min="7" max="7" width="10.85546875" style="81" customWidth="1"/>
    <col min="8" max="8" width="11.28515625" style="81" customWidth="1"/>
    <col min="9" max="9" width="12.5703125" style="81" customWidth="1"/>
    <col min="10" max="10" width="10.7109375" style="81" customWidth="1"/>
    <col min="11" max="11" width="11.28515625" style="81" customWidth="1"/>
    <col min="12" max="12" width="11.140625" style="81" customWidth="1"/>
    <col min="13" max="13" width="13.28515625" style="81" customWidth="1"/>
    <col min="14" max="17" width="8.7109375" style="81" customWidth="1"/>
    <col min="18" max="18" width="6.7109375" style="81" bestFit="1" customWidth="1"/>
    <col min="19" max="19" width="20.28515625" style="81" bestFit="1" customWidth="1"/>
    <col min="20" max="27" width="8.7109375" style="81" customWidth="1"/>
    <col min="28" max="28" width="14.42578125" style="81" customWidth="1"/>
    <col min="29" max="16384" width="14.42578125" style="81"/>
  </cols>
  <sheetData>
    <row r="2" spans="2:19" ht="30" customHeight="1">
      <c r="B2" s="546" t="s">
        <v>103</v>
      </c>
      <c r="C2" s="547"/>
      <c r="D2" s="547"/>
      <c r="E2" s="547"/>
      <c r="F2" s="547"/>
      <c r="G2" s="547"/>
      <c r="H2" s="547"/>
      <c r="I2" s="547"/>
      <c r="J2" s="548"/>
    </row>
    <row r="4" spans="2:19" ht="19.5" customHeight="1">
      <c r="B4" s="539" t="s">
        <v>104</v>
      </c>
      <c r="C4" s="539"/>
      <c r="D4" s="539"/>
      <c r="E4" s="539"/>
      <c r="F4" s="539"/>
    </row>
    <row r="5" spans="2:19">
      <c r="B5" s="221" t="s">
        <v>3</v>
      </c>
      <c r="C5" s="540" t="s">
        <v>373</v>
      </c>
      <c r="D5" s="540"/>
      <c r="E5" s="540"/>
      <c r="F5" s="540"/>
    </row>
    <row r="6" spans="2:19">
      <c r="B6" s="221" t="s">
        <v>5</v>
      </c>
      <c r="C6" s="540" t="s">
        <v>374</v>
      </c>
      <c r="D6" s="540"/>
      <c r="E6" s="540"/>
      <c r="F6" s="540"/>
    </row>
    <row r="7" spans="2:19">
      <c r="B7" s="221" t="s">
        <v>107</v>
      </c>
      <c r="C7" s="540" t="s">
        <v>375</v>
      </c>
      <c r="D7" s="540"/>
      <c r="E7" s="540"/>
      <c r="F7" s="540"/>
    </row>
    <row r="8" spans="2:19">
      <c r="B8" s="221" t="s">
        <v>109</v>
      </c>
      <c r="C8" s="542">
        <v>722716</v>
      </c>
      <c r="D8" s="540"/>
      <c r="E8" s="540"/>
      <c r="F8" s="540"/>
    </row>
    <row r="9" spans="2:19">
      <c r="B9" s="221" t="s">
        <v>11</v>
      </c>
      <c r="C9" s="540" t="s">
        <v>376</v>
      </c>
      <c r="D9" s="540"/>
      <c r="E9" s="540"/>
      <c r="F9" s="540"/>
    </row>
    <row r="10" spans="2:19">
      <c r="B10" s="221" t="s">
        <v>112</v>
      </c>
      <c r="C10" s="540" t="s">
        <v>377</v>
      </c>
      <c r="D10" s="540"/>
      <c r="E10" s="540"/>
      <c r="F10" s="540"/>
    </row>
    <row r="11" spans="2:19" ht="14.65" customHeight="1">
      <c r="B11" s="541" t="s">
        <v>13</v>
      </c>
      <c r="C11" s="540" t="s">
        <v>378</v>
      </c>
      <c r="D11" s="540"/>
      <c r="E11" s="540"/>
      <c r="F11" s="540"/>
    </row>
    <row r="12" spans="2:19">
      <c r="B12" s="541"/>
      <c r="C12" s="540"/>
      <c r="D12" s="540"/>
      <c r="E12" s="540"/>
      <c r="F12" s="540"/>
    </row>
    <row r="13" spans="2:19">
      <c r="B13" s="541"/>
      <c r="C13" s="540"/>
      <c r="D13" s="540"/>
      <c r="E13" s="540"/>
      <c r="F13" s="540"/>
    </row>
    <row r="14" spans="2:19">
      <c r="B14" s="222"/>
      <c r="C14" s="223"/>
      <c r="D14" s="223"/>
      <c r="E14" s="223"/>
      <c r="F14" s="223"/>
    </row>
    <row r="15" spans="2:19" ht="19.5" customHeight="1">
      <c r="B15" s="543" t="s">
        <v>115</v>
      </c>
      <c r="C15" s="544"/>
      <c r="D15" s="544"/>
      <c r="E15" s="544"/>
      <c r="F15" s="544"/>
      <c r="G15" s="545"/>
    </row>
    <row r="16" spans="2:19" ht="15.75">
      <c r="B16" s="224"/>
      <c r="C16" s="225" t="s">
        <v>116</v>
      </c>
      <c r="D16" s="225" t="s">
        <v>117</v>
      </c>
      <c r="E16" s="225" t="s">
        <v>118</v>
      </c>
      <c r="F16" s="225" t="s">
        <v>119</v>
      </c>
      <c r="G16" s="225" t="s">
        <v>120</v>
      </c>
      <c r="P16" s="226"/>
      <c r="Q16" s="226"/>
      <c r="R16" s="226"/>
      <c r="S16" s="226"/>
    </row>
    <row r="17" spans="2:17">
      <c r="B17" s="227" t="s">
        <v>379</v>
      </c>
      <c r="C17" s="98">
        <v>278115</v>
      </c>
      <c r="D17" s="98">
        <v>289973</v>
      </c>
      <c r="E17" s="98">
        <v>350845</v>
      </c>
      <c r="F17" s="98">
        <v>439189</v>
      </c>
      <c r="G17" s="98">
        <v>490938</v>
      </c>
      <c r="P17" s="228"/>
      <c r="Q17" s="228"/>
    </row>
    <row r="18" spans="2:17">
      <c r="B18" s="227" t="s">
        <v>126</v>
      </c>
      <c r="C18" s="98">
        <v>23888</v>
      </c>
      <c r="D18" s="98">
        <v>37183</v>
      </c>
      <c r="E18" s="98">
        <v>57750</v>
      </c>
      <c r="F18" s="98">
        <v>69543</v>
      </c>
      <c r="G18" s="98">
        <v>80523</v>
      </c>
      <c r="P18" s="228"/>
      <c r="Q18" s="228"/>
    </row>
    <row r="19" spans="2:17">
      <c r="B19" s="227" t="s">
        <v>127</v>
      </c>
      <c r="C19" s="98">
        <v>36507</v>
      </c>
      <c r="D19" s="98">
        <v>53430</v>
      </c>
      <c r="E19" s="98">
        <v>79094</v>
      </c>
      <c r="F19" s="98">
        <v>95089</v>
      </c>
      <c r="G19" s="98">
        <v>110357</v>
      </c>
      <c r="P19" s="228"/>
      <c r="Q19" s="228"/>
    </row>
    <row r="20" spans="2:17">
      <c r="B20" s="227" t="s">
        <v>128</v>
      </c>
      <c r="C20" s="224">
        <v>25.11</v>
      </c>
      <c r="D20" s="224">
        <v>39.64</v>
      </c>
      <c r="E20" s="224">
        <v>62.35</v>
      </c>
      <c r="F20" s="224">
        <v>75.17</v>
      </c>
      <c r="G20" s="224">
        <v>86.91</v>
      </c>
      <c r="P20" s="228"/>
      <c r="Q20" s="228"/>
    </row>
    <row r="21" spans="2:17">
      <c r="B21" s="227" t="s">
        <v>129</v>
      </c>
      <c r="C21" s="229">
        <v>4.0007517096279219</v>
      </c>
      <c r="D21" s="229">
        <v>7.1006536687521988</v>
      </c>
      <c r="E21" s="229">
        <v>11.299334371642409</v>
      </c>
      <c r="F21" s="229">
        <v>13.700313931632966</v>
      </c>
      <c r="G21" s="229">
        <v>15.900479028598529</v>
      </c>
      <c r="P21" s="228"/>
      <c r="Q21" s="228"/>
    </row>
    <row r="22" spans="2:17" ht="15" customHeight="1">
      <c r="B22" s="221" t="s">
        <v>380</v>
      </c>
      <c r="C22" s="230">
        <v>364.3</v>
      </c>
      <c r="D22" s="230">
        <v>493.55</v>
      </c>
      <c r="E22" s="230">
        <v>523.75</v>
      </c>
      <c r="F22" s="230">
        <v>752.35</v>
      </c>
      <c r="G22" s="230">
        <v>771.5</v>
      </c>
    </row>
    <row r="24" spans="2:17" ht="19.5" customHeight="1">
      <c r="B24" s="543" t="s">
        <v>131</v>
      </c>
      <c r="C24" s="544"/>
      <c r="D24" s="544"/>
      <c r="E24" s="544"/>
      <c r="F24" s="544"/>
      <c r="G24" s="545"/>
      <c r="I24" s="22"/>
    </row>
    <row r="25" spans="2:17" ht="19.5" customHeight="1">
      <c r="B25" s="231" t="s">
        <v>381</v>
      </c>
      <c r="C25" s="225" t="s">
        <v>116</v>
      </c>
      <c r="D25" s="225" t="s">
        <v>117</v>
      </c>
      <c r="E25" s="225" t="s">
        <v>118</v>
      </c>
      <c r="F25" s="225" t="s">
        <v>119</v>
      </c>
      <c r="G25" s="225" t="s">
        <v>120</v>
      </c>
    </row>
    <row r="26" spans="2:17" ht="19.5" customHeight="1">
      <c r="B26" s="221" t="s">
        <v>132</v>
      </c>
      <c r="C26" s="232">
        <v>8.8599999999999998E-2</v>
      </c>
      <c r="D26" s="232">
        <v>0.12330000000000001</v>
      </c>
      <c r="E26" s="232">
        <v>0.16750000000000001</v>
      </c>
      <c r="F26" s="232">
        <v>0.17460000000000001</v>
      </c>
      <c r="G26" s="232">
        <v>0.16070000000000001</v>
      </c>
    </row>
    <row r="27" spans="2:17" ht="19.5" customHeight="1">
      <c r="B27" s="221" t="s">
        <v>92</v>
      </c>
      <c r="C27" s="233">
        <f>C22/C20</f>
        <v>14.508164078056552</v>
      </c>
      <c r="D27" s="233">
        <f>D22/D20</f>
        <v>12.450807265388496</v>
      </c>
      <c r="E27" s="233">
        <f>E22/E20</f>
        <v>8.4001603849238169</v>
      </c>
      <c r="F27" s="233">
        <f>F22/F20</f>
        <v>10.00864706664893</v>
      </c>
      <c r="G27" s="233">
        <f>G22/G20</f>
        <v>8.8769991945690947</v>
      </c>
    </row>
    <row r="28" spans="2:17" ht="15.75" customHeight="1">
      <c r="B28" s="221" t="s">
        <v>93</v>
      </c>
      <c r="C28" s="233">
        <f>C22/282.35</f>
        <v>1.2902426066938197</v>
      </c>
      <c r="D28" s="233">
        <f>D22/316.22</f>
        <v>1.5607804692935296</v>
      </c>
      <c r="E28" s="233">
        <f>E22/371.08</f>
        <v>1.4114207179044951</v>
      </c>
      <c r="F28" s="233">
        <f>F22/434.06</f>
        <v>1.7332857208680827</v>
      </c>
      <c r="G28" s="233">
        <f>G22/546</f>
        <v>1.4130036630036631</v>
      </c>
    </row>
    <row r="29" spans="2:17" ht="15.4" customHeight="1">
      <c r="B29" s="221" t="s">
        <v>95</v>
      </c>
      <c r="C29" s="233">
        <f>4210541.48/C19</f>
        <v>115.33518174596654</v>
      </c>
      <c r="D29" s="234">
        <f>4660058.65/D19</f>
        <v>87.218017031630183</v>
      </c>
      <c r="E29" s="234">
        <f>5137207.29/E19</f>
        <v>64.950657319139253</v>
      </c>
      <c r="F29" s="234">
        <f>5960162.28/F19</f>
        <v>62.679829212632377</v>
      </c>
      <c r="G29" s="234">
        <f>6407166.69/G19</f>
        <v>58.058543545040195</v>
      </c>
    </row>
    <row r="30" spans="2:17" ht="15.75" customHeight="1">
      <c r="B30" s="221" t="s">
        <v>133</v>
      </c>
      <c r="C30" s="235">
        <f>C21/C22</f>
        <v>1.0982025005841126E-2</v>
      </c>
      <c r="D30" s="235">
        <f t="shared" ref="D30:G30" si="0">D21/D22</f>
        <v>1.4386898325908618E-2</v>
      </c>
      <c r="E30" s="235">
        <f t="shared" si="0"/>
        <v>2.1573908108147799E-2</v>
      </c>
      <c r="F30" s="235">
        <f t="shared" si="0"/>
        <v>1.8210027157085088E-2</v>
      </c>
      <c r="G30" s="235">
        <f t="shared" si="0"/>
        <v>2.0609823757094657E-2</v>
      </c>
    </row>
    <row r="31" spans="2:17" ht="15.75" customHeight="1">
      <c r="B31" s="221" t="s">
        <v>134</v>
      </c>
      <c r="C31" s="224">
        <v>1.57</v>
      </c>
      <c r="D31" s="224">
        <v>1.47</v>
      </c>
      <c r="E31" s="224">
        <v>1.45</v>
      </c>
      <c r="F31" s="224">
        <v>1.54</v>
      </c>
      <c r="G31" s="224">
        <v>1.25</v>
      </c>
    </row>
    <row r="32" spans="2:17" ht="15.75" customHeight="1"/>
    <row r="33" spans="2:9" ht="15.75" customHeight="1">
      <c r="B33" s="231" t="s">
        <v>382</v>
      </c>
      <c r="C33" s="225" t="s">
        <v>116</v>
      </c>
      <c r="D33" s="225" t="s">
        <v>117</v>
      </c>
      <c r="E33" s="225" t="s">
        <v>118</v>
      </c>
      <c r="F33" s="225" t="s">
        <v>119</v>
      </c>
      <c r="G33" s="225" t="s">
        <v>120</v>
      </c>
    </row>
    <row r="34" spans="2:9" ht="15.75" customHeight="1">
      <c r="B34" s="221" t="s">
        <v>383</v>
      </c>
      <c r="C34" s="224">
        <v>0.45</v>
      </c>
      <c r="D34" s="224">
        <v>0.63</v>
      </c>
      <c r="E34" s="224">
        <v>0.91</v>
      </c>
      <c r="F34" s="224">
        <v>0.98</v>
      </c>
      <c r="G34" s="224">
        <v>1.06</v>
      </c>
      <c r="H34" s="22"/>
      <c r="I34" s="22"/>
    </row>
    <row r="35" spans="2:9" ht="15.75" customHeight="1">
      <c r="B35" s="221" t="s">
        <v>384</v>
      </c>
      <c r="C35" s="224">
        <v>2.44</v>
      </c>
      <c r="D35" s="224">
        <v>2.42</v>
      </c>
      <c r="E35" s="224">
        <v>2.62</v>
      </c>
      <c r="F35" s="224">
        <v>2.58</v>
      </c>
      <c r="G35" s="224">
        <v>2.5</v>
      </c>
    </row>
    <row r="36" spans="2:9" ht="15.75" customHeight="1">
      <c r="B36" s="221" t="s">
        <v>385</v>
      </c>
      <c r="C36" s="224">
        <v>5</v>
      </c>
      <c r="D36" s="224">
        <v>3.97</v>
      </c>
      <c r="E36" s="224">
        <v>2.78</v>
      </c>
      <c r="F36" s="224">
        <v>2.2400000000000002</v>
      </c>
      <c r="G36" s="224">
        <v>1.82</v>
      </c>
    </row>
    <row r="37" spans="2:9" ht="15.75" customHeight="1">
      <c r="B37" s="221" t="s">
        <v>386</v>
      </c>
      <c r="C37" s="224">
        <v>45.39</v>
      </c>
      <c r="D37" s="224">
        <v>44.51</v>
      </c>
      <c r="E37" s="224">
        <v>42.66</v>
      </c>
      <c r="F37" s="224">
        <v>39.89</v>
      </c>
      <c r="G37" s="224">
        <v>39.97</v>
      </c>
    </row>
    <row r="38" spans="2:9" ht="15.75" customHeight="1">
      <c r="B38" s="221" t="s">
        <v>387</v>
      </c>
      <c r="C38" s="224">
        <v>53.59</v>
      </c>
      <c r="D38" s="224">
        <v>57.91</v>
      </c>
      <c r="E38" s="224">
        <v>53.86</v>
      </c>
      <c r="F38" s="224">
        <v>59.01</v>
      </c>
      <c r="G38" s="224">
        <v>30.09</v>
      </c>
    </row>
    <row r="39" spans="2:9" ht="15.75" customHeight="1">
      <c r="B39" s="221" t="s">
        <v>388</v>
      </c>
      <c r="C39" s="224">
        <v>13.12</v>
      </c>
      <c r="D39" s="224">
        <v>13.11</v>
      </c>
      <c r="E39" s="224">
        <v>12.6</v>
      </c>
      <c r="F39" s="224">
        <v>12.72</v>
      </c>
      <c r="G39" s="224">
        <v>13.13</v>
      </c>
    </row>
    <row r="40" spans="2:9" ht="15.75" customHeight="1">
      <c r="B40" s="226"/>
      <c r="C40" s="226"/>
      <c r="D40" s="226"/>
      <c r="E40" s="226"/>
      <c r="F40" s="226"/>
      <c r="G40" s="226"/>
    </row>
    <row r="41" spans="2:9" ht="15.75" customHeight="1">
      <c r="B41" s="226"/>
      <c r="C41" s="226"/>
      <c r="D41" s="226"/>
      <c r="E41" s="226"/>
      <c r="F41" s="226"/>
      <c r="G41" s="226"/>
    </row>
    <row r="42" spans="2:9" ht="15.75" customHeight="1">
      <c r="B42" s="536" t="s">
        <v>141</v>
      </c>
      <c r="C42" s="537"/>
      <c r="D42" s="537"/>
      <c r="E42" s="537"/>
      <c r="F42" s="537"/>
      <c r="G42" s="538"/>
    </row>
    <row r="43" spans="2:9" ht="15.75" customHeight="1">
      <c r="C43" s="236" t="s">
        <v>142</v>
      </c>
      <c r="D43" s="237"/>
    </row>
    <row r="44" spans="2:9" ht="15.75" customHeight="1">
      <c r="C44" s="236" t="s">
        <v>143</v>
      </c>
      <c r="D44" s="237"/>
    </row>
    <row r="45" spans="2:9" ht="15.75" customHeight="1">
      <c r="C45" s="236" t="s">
        <v>144</v>
      </c>
      <c r="D45" s="237"/>
    </row>
    <row r="46" spans="2:9" ht="15.75" customHeight="1">
      <c r="C46" s="236" t="s">
        <v>145</v>
      </c>
      <c r="D46" s="237"/>
    </row>
    <row r="47" spans="2:9" ht="15.75" customHeight="1">
      <c r="C47" s="236"/>
      <c r="D47" s="236"/>
      <c r="E47" s="236"/>
      <c r="F47" s="236"/>
      <c r="G47" s="236"/>
    </row>
    <row r="48" spans="2:9" ht="15.75" customHeight="1">
      <c r="B48" s="539" t="s">
        <v>146</v>
      </c>
      <c r="C48" s="539"/>
      <c r="D48" s="539"/>
      <c r="E48" s="539"/>
      <c r="F48" s="539"/>
      <c r="G48" s="539"/>
    </row>
    <row r="49" spans="2:7" ht="15.75" customHeight="1">
      <c r="B49" s="535" t="s">
        <v>389</v>
      </c>
      <c r="C49" s="535"/>
      <c r="D49" s="535"/>
      <c r="E49" s="535"/>
      <c r="F49" s="535"/>
      <c r="G49" s="535"/>
    </row>
    <row r="50" spans="2:7" ht="15.75" customHeight="1">
      <c r="B50" s="535"/>
      <c r="C50" s="535"/>
      <c r="D50" s="535"/>
      <c r="E50" s="535"/>
      <c r="F50" s="535"/>
      <c r="G50" s="535"/>
    </row>
    <row r="51" spans="2:7" ht="15.75" customHeight="1">
      <c r="B51" s="535"/>
      <c r="C51" s="535"/>
      <c r="D51" s="535"/>
      <c r="E51" s="535"/>
      <c r="F51" s="535"/>
      <c r="G51" s="535"/>
    </row>
    <row r="52" spans="2:7" ht="15.75" customHeight="1">
      <c r="B52" s="535"/>
      <c r="C52" s="535"/>
      <c r="D52" s="535"/>
      <c r="E52" s="535"/>
      <c r="F52" s="535"/>
      <c r="G52" s="535"/>
    </row>
    <row r="53" spans="2:7" ht="15.75" customHeight="1">
      <c r="B53" s="535"/>
      <c r="C53" s="535"/>
      <c r="D53" s="535"/>
      <c r="E53" s="535"/>
      <c r="F53" s="535"/>
      <c r="G53" s="535"/>
    </row>
    <row r="54" spans="2:7" ht="15.75" customHeight="1">
      <c r="B54" s="535"/>
      <c r="C54" s="535"/>
      <c r="D54" s="535"/>
      <c r="E54" s="535"/>
      <c r="F54" s="535"/>
      <c r="G54" s="535"/>
    </row>
    <row r="55" spans="2:7" ht="15.75" customHeight="1">
      <c r="B55" s="535"/>
      <c r="C55" s="535"/>
      <c r="D55" s="535"/>
      <c r="E55" s="535"/>
      <c r="F55" s="535"/>
      <c r="G55" s="535"/>
    </row>
    <row r="56" spans="2:7" ht="19.5" customHeight="1">
      <c r="B56" s="535"/>
      <c r="C56" s="535"/>
      <c r="D56" s="535"/>
      <c r="E56" s="535"/>
      <c r="F56" s="535"/>
      <c r="G56" s="535"/>
    </row>
    <row r="57" spans="2:7" ht="15.75" customHeight="1"/>
    <row r="58" spans="2:7" ht="15.75" customHeight="1"/>
    <row r="59" spans="2:7" ht="15.75" customHeight="1"/>
    <row r="60" spans="2:7" ht="15.75" customHeight="1"/>
    <row r="61" spans="2:7" ht="15.75" customHeight="1"/>
    <row r="62" spans="2:7" ht="15.75" customHeight="1"/>
    <row r="63" spans="2:7" ht="19.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5">
    <mergeCell ref="C8:F8"/>
    <mergeCell ref="C9:F9"/>
    <mergeCell ref="B15:G15"/>
    <mergeCell ref="B24:G24"/>
    <mergeCell ref="B2:J2"/>
    <mergeCell ref="B4:F4"/>
    <mergeCell ref="C5:F5"/>
    <mergeCell ref="C6:F6"/>
    <mergeCell ref="C7:F7"/>
    <mergeCell ref="B49:G56"/>
    <mergeCell ref="B42:G42"/>
    <mergeCell ref="B48:G48"/>
    <mergeCell ref="C10:F10"/>
    <mergeCell ref="C11:F13"/>
    <mergeCell ref="B11:B13"/>
  </mergeCells>
  <dataValidations count="2">
    <dataValidation type="list" allowBlank="1" sqref="D43:D46" xr:uid="{00000000-0002-0000-0A00-000000000000}">
      <formula1>"1,2,3,4,5"</formula1>
    </dataValidation>
    <dataValidation type="list" allowBlank="1" sqref="C6" xr:uid="{00000000-0002-0000-0A00-000001000000}">
      <formula1>"FMCG,Banking,Oil &amp; Gas"</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04448-E54E-4305-B226-CA2F6889B9A5}">
  <dimension ref="B2:S1005"/>
  <sheetViews>
    <sheetView showGridLines="0" topLeftCell="A27" zoomScale="80" zoomScaleNormal="80" workbookViewId="0">
      <selection activeCell="H40" sqref="H40"/>
    </sheetView>
  </sheetViews>
  <sheetFormatPr defaultColWidth="14.42578125" defaultRowHeight="14.45" customHeight="1"/>
  <cols>
    <col min="1" max="1" width="14.42578125" style="81" customWidth="1"/>
    <col min="2" max="2" width="28.5703125" style="81" bestFit="1" customWidth="1"/>
    <col min="3" max="3" width="22.140625" style="81" customWidth="1"/>
    <col min="4" max="4" width="19.28515625" style="81" customWidth="1"/>
    <col min="5" max="5" width="16.7109375" style="81" customWidth="1"/>
    <col min="6" max="6" width="17.28515625" style="81" customWidth="1"/>
    <col min="7" max="7" width="10.85546875" style="81" customWidth="1"/>
    <col min="8" max="8" width="11.28515625" style="81" customWidth="1"/>
    <col min="9" max="9" width="12.5703125" style="81" customWidth="1"/>
    <col min="10" max="10" width="10.7109375" style="81" customWidth="1"/>
    <col min="11" max="11" width="11.28515625" style="81" customWidth="1"/>
    <col min="12" max="12" width="11.140625" style="81" customWidth="1"/>
    <col min="13" max="13" width="13.28515625" style="81" customWidth="1"/>
    <col min="14" max="17" width="8.7109375" style="81" customWidth="1"/>
    <col min="18" max="18" width="6.7109375" style="81" bestFit="1" customWidth="1"/>
    <col min="19" max="19" width="20.28515625" style="81" bestFit="1" customWidth="1"/>
    <col min="20" max="27" width="8.7109375" style="81" customWidth="1"/>
    <col min="28" max="28" width="14.42578125" style="81" customWidth="1"/>
    <col min="29" max="16384" width="14.42578125" style="81"/>
  </cols>
  <sheetData>
    <row r="2" spans="2:10" ht="30" customHeight="1">
      <c r="B2" s="546" t="s">
        <v>103</v>
      </c>
      <c r="C2" s="547"/>
      <c r="D2" s="547"/>
      <c r="E2" s="547"/>
      <c r="F2" s="547"/>
      <c r="G2" s="547"/>
      <c r="H2" s="547"/>
      <c r="I2" s="547"/>
      <c r="J2" s="548"/>
    </row>
    <row r="4" spans="2:10" ht="19.5" customHeight="1">
      <c r="B4" s="539" t="s">
        <v>104</v>
      </c>
      <c r="C4" s="539"/>
      <c r="D4" s="539"/>
      <c r="E4" s="539"/>
      <c r="F4" s="539"/>
    </row>
    <row r="5" spans="2:10" ht="15">
      <c r="B5" s="221" t="s">
        <v>3</v>
      </c>
      <c r="C5" s="549" t="s">
        <v>390</v>
      </c>
      <c r="D5" s="549"/>
      <c r="E5" s="549"/>
      <c r="F5" s="549"/>
    </row>
    <row r="6" spans="2:10" ht="15">
      <c r="B6" s="221" t="s">
        <v>5</v>
      </c>
      <c r="C6" s="549" t="s">
        <v>374</v>
      </c>
      <c r="D6" s="549"/>
      <c r="E6" s="549"/>
      <c r="F6" s="549"/>
    </row>
    <row r="7" spans="2:10" ht="14.65" customHeight="1">
      <c r="B7" s="221" t="s">
        <v>107</v>
      </c>
      <c r="C7" s="549" t="s">
        <v>391</v>
      </c>
      <c r="D7" s="549"/>
      <c r="E7" s="549"/>
      <c r="F7" s="549"/>
    </row>
    <row r="8" spans="2:10" ht="15">
      <c r="B8" s="221" t="s">
        <v>109</v>
      </c>
      <c r="C8" s="542">
        <v>1019246</v>
      </c>
      <c r="D8" s="540"/>
      <c r="E8" s="540"/>
      <c r="F8" s="540"/>
    </row>
    <row r="9" spans="2:10" ht="15">
      <c r="B9" s="221" t="s">
        <v>11</v>
      </c>
      <c r="C9" s="540" t="s">
        <v>392</v>
      </c>
      <c r="D9" s="540"/>
      <c r="E9" s="540"/>
      <c r="F9" s="540"/>
    </row>
    <row r="10" spans="2:10" ht="15">
      <c r="B10" s="221" t="s">
        <v>112</v>
      </c>
      <c r="C10" s="540" t="s">
        <v>377</v>
      </c>
      <c r="D10" s="540"/>
      <c r="E10" s="540"/>
      <c r="F10" s="540"/>
    </row>
    <row r="11" spans="2:10" ht="14.65" customHeight="1">
      <c r="B11" s="541" t="s">
        <v>13</v>
      </c>
      <c r="C11" s="540" t="s">
        <v>393</v>
      </c>
      <c r="D11" s="540"/>
      <c r="E11" s="540"/>
      <c r="F11" s="540"/>
    </row>
    <row r="12" spans="2:10" ht="15">
      <c r="B12" s="541"/>
      <c r="C12" s="540"/>
      <c r="D12" s="540"/>
      <c r="E12" s="540"/>
      <c r="F12" s="540"/>
    </row>
    <row r="13" spans="2:10" ht="15">
      <c r="B13" s="541"/>
      <c r="C13" s="540"/>
      <c r="D13" s="540"/>
      <c r="E13" s="540"/>
      <c r="F13" s="540"/>
    </row>
    <row r="14" spans="2:10" ht="15">
      <c r="B14" s="541"/>
      <c r="C14" s="540"/>
      <c r="D14" s="540"/>
      <c r="E14" s="540"/>
      <c r="F14" s="540"/>
    </row>
    <row r="15" spans="2:10" ht="15">
      <c r="B15" s="541"/>
      <c r="C15" s="540"/>
      <c r="D15" s="540"/>
      <c r="E15" s="540"/>
      <c r="F15" s="540"/>
    </row>
    <row r="16" spans="2:10" ht="15">
      <c r="B16" s="239"/>
      <c r="C16" s="240"/>
      <c r="D16" s="240"/>
      <c r="E16" s="240"/>
      <c r="F16" s="240"/>
    </row>
    <row r="17" spans="2:19" ht="19.5" customHeight="1">
      <c r="B17" s="543" t="s">
        <v>115</v>
      </c>
      <c r="C17" s="544"/>
      <c r="D17" s="544"/>
      <c r="E17" s="544"/>
      <c r="F17" s="544"/>
      <c r="G17" s="545"/>
    </row>
    <row r="18" spans="2:19" ht="15.75">
      <c r="B18" s="224"/>
      <c r="C18" s="225" t="s">
        <v>116</v>
      </c>
      <c r="D18" s="225" t="s">
        <v>117</v>
      </c>
      <c r="E18" s="225" t="s">
        <v>118</v>
      </c>
      <c r="F18" s="225" t="s">
        <v>119</v>
      </c>
      <c r="G18" s="225" t="s">
        <v>120</v>
      </c>
      <c r="I18" s="241"/>
      <c r="J18" s="241"/>
      <c r="K18" s="241"/>
      <c r="L18" s="241"/>
      <c r="M18" s="241"/>
      <c r="P18" s="226"/>
      <c r="Q18" s="226"/>
      <c r="R18" s="226"/>
      <c r="S18" s="226"/>
    </row>
    <row r="19" spans="2:19" ht="15.75" thickBot="1">
      <c r="B19" s="227" t="s">
        <v>379</v>
      </c>
      <c r="C19" s="126">
        <v>98086.8</v>
      </c>
      <c r="D19" s="126">
        <v>104892.08</v>
      </c>
      <c r="E19" s="126">
        <v>129062.79</v>
      </c>
      <c r="F19" s="126">
        <v>165848.71</v>
      </c>
      <c r="G19" s="126">
        <v>191770.48</v>
      </c>
      <c r="P19" s="228"/>
      <c r="Q19" s="228"/>
    </row>
    <row r="20" spans="2:19" ht="15.75" thickBot="1">
      <c r="B20" s="227" t="s">
        <v>126</v>
      </c>
      <c r="C20" s="126">
        <v>16192.68</v>
      </c>
      <c r="D20" s="126">
        <v>23339.49</v>
      </c>
      <c r="E20" s="126">
        <v>31896.5</v>
      </c>
      <c r="F20" s="126">
        <v>40888.269999999997</v>
      </c>
      <c r="G20" s="126">
        <v>47226.99</v>
      </c>
      <c r="M20" s="242"/>
      <c r="P20" s="228"/>
      <c r="Q20" s="228"/>
    </row>
    <row r="21" spans="2:19" ht="15.75" thickBot="1">
      <c r="B21" s="227" t="s">
        <v>127</v>
      </c>
      <c r="C21" s="126">
        <v>27368</v>
      </c>
      <c r="D21" s="126">
        <v>35571</v>
      </c>
      <c r="E21" s="126">
        <v>47771</v>
      </c>
      <c r="F21" s="126">
        <v>62369</v>
      </c>
      <c r="G21" s="126">
        <v>72854</v>
      </c>
      <c r="N21" s="243"/>
    </row>
    <row r="22" spans="2:19" ht="15.75" thickBot="1">
      <c r="B22" s="227" t="s">
        <v>128</v>
      </c>
      <c r="C22" s="126">
        <v>24.01</v>
      </c>
      <c r="D22" s="126">
        <v>33.659999999999997</v>
      </c>
      <c r="E22" s="126">
        <v>45.79</v>
      </c>
      <c r="F22" s="126">
        <v>58.38</v>
      </c>
      <c r="G22" s="126">
        <v>67.010000000000005</v>
      </c>
      <c r="M22" s="243"/>
    </row>
    <row r="23" spans="2:19" ht="15">
      <c r="B23" s="227" t="s">
        <v>129</v>
      </c>
      <c r="C23" s="126">
        <v>2</v>
      </c>
      <c r="D23" s="126">
        <v>5</v>
      </c>
      <c r="E23" s="126">
        <v>8</v>
      </c>
      <c r="F23" s="126">
        <v>10</v>
      </c>
      <c r="G23" s="126">
        <v>11</v>
      </c>
    </row>
    <row r="24" spans="2:19" ht="15" customHeight="1">
      <c r="B24" s="221" t="s">
        <v>380</v>
      </c>
      <c r="C24" s="126">
        <v>582.1</v>
      </c>
      <c r="D24" s="126">
        <v>730.3</v>
      </c>
      <c r="E24" s="126">
        <v>877.25</v>
      </c>
      <c r="F24" s="126">
        <v>1093.3</v>
      </c>
      <c r="G24" s="126">
        <v>1348.35</v>
      </c>
    </row>
    <row r="26" spans="2:19" ht="19.5" customHeight="1">
      <c r="B26" s="543" t="s">
        <v>131</v>
      </c>
      <c r="C26" s="544"/>
      <c r="D26" s="544"/>
      <c r="E26" s="544"/>
      <c r="F26" s="544"/>
      <c r="G26" s="545"/>
      <c r="I26" s="22"/>
    </row>
    <row r="27" spans="2:19" ht="19.5" customHeight="1">
      <c r="B27" s="231" t="s">
        <v>381</v>
      </c>
      <c r="C27" s="225" t="s">
        <v>116</v>
      </c>
      <c r="D27" s="225" t="s">
        <v>117</v>
      </c>
      <c r="E27" s="225" t="s">
        <v>118</v>
      </c>
      <c r="F27" s="225" t="s">
        <v>119</v>
      </c>
      <c r="G27" s="225" t="s">
        <v>120</v>
      </c>
    </row>
    <row r="28" spans="2:19" ht="19.5" customHeight="1">
      <c r="B28" s="221" t="s">
        <v>132</v>
      </c>
      <c r="C28" s="233">
        <v>11.21</v>
      </c>
      <c r="D28" s="233">
        <v>13.94</v>
      </c>
      <c r="E28" s="233">
        <v>16.13</v>
      </c>
      <c r="F28" s="233">
        <v>17.37</v>
      </c>
      <c r="G28" s="233">
        <v>16.16</v>
      </c>
    </row>
    <row r="29" spans="2:19" ht="19.5" customHeight="1">
      <c r="B29" s="221" t="s">
        <v>92</v>
      </c>
      <c r="C29" s="233">
        <f>C24/C22</f>
        <v>24.244064972927948</v>
      </c>
      <c r="D29" s="233">
        <f t="shared" ref="D29:G29" si="0">D24/D22</f>
        <v>21.696375519904933</v>
      </c>
      <c r="E29" s="233">
        <f t="shared" si="0"/>
        <v>19.158113125136492</v>
      </c>
      <c r="F29" s="233">
        <f t="shared" si="0"/>
        <v>18.727303871188763</v>
      </c>
      <c r="G29" s="233">
        <f t="shared" si="0"/>
        <v>20.121623638262943</v>
      </c>
    </row>
    <row r="30" spans="2:19" ht="15.75" customHeight="1">
      <c r="B30" s="221" t="s">
        <v>93</v>
      </c>
      <c r="C30" s="233">
        <f>C24/282.35</f>
        <v>2.06162564193377</v>
      </c>
      <c r="D30" s="233">
        <f>D24/316.22</f>
        <v>2.3094680918347983</v>
      </c>
      <c r="E30" s="233">
        <f>E24/371.08</f>
        <v>2.3640454888433764</v>
      </c>
      <c r="F30" s="233">
        <f>F24/434.06</f>
        <v>2.5187762060544623</v>
      </c>
      <c r="G30" s="233">
        <f>G24/546</f>
        <v>2.4695054945054942</v>
      </c>
    </row>
    <row r="31" spans="2:19" ht="15.4" customHeight="1">
      <c r="B31" s="221" t="s">
        <v>95</v>
      </c>
      <c r="C31" s="233">
        <f>1380175.57/C21</f>
        <v>50.430267831043558</v>
      </c>
      <c r="D31" s="233">
        <f>1619193.56/D21</f>
        <v>45.520046104973154</v>
      </c>
      <c r="E31" s="233">
        <f>1844265.53/E21</f>
        <v>38.60638316133219</v>
      </c>
      <c r="F31" s="233">
        <f>2217739.57/F21</f>
        <v>35.558363449790761</v>
      </c>
      <c r="G31" s="233">
        <f>2574423.48/G21</f>
        <v>35.336748565624397</v>
      </c>
    </row>
    <row r="32" spans="2:19" ht="15.75" customHeight="1">
      <c r="B32" s="221" t="s">
        <v>133</v>
      </c>
      <c r="C32" s="235">
        <f>C23/C24</f>
        <v>3.4358357670503351E-3</v>
      </c>
      <c r="D32" s="235">
        <f t="shared" ref="D32:G32" si="1">D23/D24</f>
        <v>6.8465014377653019E-3</v>
      </c>
      <c r="E32" s="235">
        <f t="shared" si="1"/>
        <v>9.119407238529496E-3</v>
      </c>
      <c r="F32" s="235">
        <f t="shared" si="1"/>
        <v>9.1466203237903602E-3</v>
      </c>
      <c r="G32" s="235">
        <f t="shared" si="1"/>
        <v>8.1581191827047872E-3</v>
      </c>
    </row>
    <row r="33" spans="2:7" ht="15.75" customHeight="1">
      <c r="B33" s="221" t="s">
        <v>134</v>
      </c>
      <c r="C33" s="233">
        <v>0.94</v>
      </c>
      <c r="D33" s="233">
        <v>0.88800000000000001</v>
      </c>
      <c r="E33" s="233">
        <v>0.92700000000000005</v>
      </c>
      <c r="F33" s="233">
        <v>0.76800000000000002</v>
      </c>
      <c r="G33" s="233">
        <v>0.69699999999999995</v>
      </c>
    </row>
    <row r="34" spans="2:7" ht="15.75" customHeight="1"/>
    <row r="35" spans="2:7" ht="15.75" customHeight="1">
      <c r="B35" s="231" t="s">
        <v>382</v>
      </c>
      <c r="C35" s="225" t="s">
        <v>116</v>
      </c>
      <c r="D35" s="225" t="s">
        <v>117</v>
      </c>
      <c r="E35" s="225" t="s">
        <v>118</v>
      </c>
      <c r="F35" s="225" t="s">
        <v>119</v>
      </c>
      <c r="G35" s="225" t="s">
        <v>120</v>
      </c>
    </row>
    <row r="36" spans="2:7" ht="15.75" customHeight="1">
      <c r="B36" s="221" t="s">
        <v>383</v>
      </c>
      <c r="C36" s="233">
        <v>1.31</v>
      </c>
      <c r="D36" s="233">
        <v>1.65</v>
      </c>
      <c r="E36" s="233">
        <v>2.0099999999999998</v>
      </c>
      <c r="F36" s="233">
        <v>2.1800000000000002</v>
      </c>
      <c r="G36" s="233">
        <v>2.2200000000000002</v>
      </c>
    </row>
    <row r="37" spans="2:7" ht="15.75" customHeight="1">
      <c r="B37" s="221" t="s">
        <v>384</v>
      </c>
      <c r="C37" s="233">
        <v>3.16</v>
      </c>
      <c r="D37" s="233">
        <v>3.36</v>
      </c>
      <c r="E37" s="233">
        <v>3.92</v>
      </c>
      <c r="F37" s="233">
        <v>3.97</v>
      </c>
      <c r="G37" s="233">
        <v>3.83</v>
      </c>
    </row>
    <row r="38" spans="2:7" ht="15.75" customHeight="1">
      <c r="B38" s="221" t="s">
        <v>385</v>
      </c>
      <c r="C38" s="233">
        <v>8</v>
      </c>
      <c r="D38" s="233">
        <v>4</v>
      </c>
      <c r="E38" s="233">
        <v>2.87</v>
      </c>
      <c r="F38" s="233">
        <v>2.2599999999999998</v>
      </c>
      <c r="G38" s="233">
        <v>1.67</v>
      </c>
    </row>
    <row r="39" spans="2:7" ht="15.75" customHeight="1">
      <c r="B39" s="221" t="s">
        <v>386</v>
      </c>
      <c r="C39" s="233">
        <v>46.28</v>
      </c>
      <c r="D39" s="233">
        <v>48.69</v>
      </c>
      <c r="E39" s="233">
        <v>45.83</v>
      </c>
      <c r="F39" s="233">
        <v>42.17</v>
      </c>
      <c r="G39" s="233">
        <v>38.4</v>
      </c>
    </row>
    <row r="40" spans="2:7" ht="15.75" customHeight="1">
      <c r="B40" s="221" t="s">
        <v>387</v>
      </c>
      <c r="C40" s="233">
        <v>37.200000000000003</v>
      </c>
      <c r="D40" s="233">
        <v>40.51</v>
      </c>
      <c r="E40" s="233">
        <v>40.1</v>
      </c>
      <c r="F40" s="233">
        <v>40.229999999999997</v>
      </c>
      <c r="G40" s="233">
        <v>32.56</v>
      </c>
    </row>
    <row r="41" spans="2:7" ht="15.75" customHeight="1">
      <c r="B41" s="221" t="s">
        <v>388</v>
      </c>
      <c r="C41" s="233">
        <v>19.12</v>
      </c>
      <c r="D41" s="233">
        <v>19.16</v>
      </c>
      <c r="E41" s="233">
        <v>18.34</v>
      </c>
      <c r="F41" s="233">
        <v>16.329999999999998</v>
      </c>
      <c r="G41" s="233">
        <v>16.55</v>
      </c>
    </row>
    <row r="42" spans="2:7" ht="15.75" customHeight="1">
      <c r="B42" s="226"/>
      <c r="C42" s="226"/>
      <c r="D42" s="226"/>
      <c r="E42" s="226"/>
      <c r="F42" s="226"/>
      <c r="G42" s="226"/>
    </row>
    <row r="43" spans="2:7" ht="15.75" customHeight="1">
      <c r="B43" s="226"/>
      <c r="C43" s="226"/>
      <c r="D43" s="226"/>
      <c r="E43" s="226"/>
      <c r="F43" s="226"/>
      <c r="G43" s="226"/>
    </row>
    <row r="44" spans="2:7" ht="15.75" customHeight="1">
      <c r="B44" s="536" t="s">
        <v>141</v>
      </c>
      <c r="C44" s="537"/>
      <c r="D44" s="537"/>
      <c r="E44" s="537"/>
      <c r="F44" s="537"/>
      <c r="G44" s="538"/>
    </row>
    <row r="45" spans="2:7" ht="15.75" customHeight="1">
      <c r="C45" s="236" t="s">
        <v>142</v>
      </c>
      <c r="D45" s="237"/>
    </row>
    <row r="46" spans="2:7" ht="15.75" customHeight="1">
      <c r="C46" s="236" t="s">
        <v>143</v>
      </c>
      <c r="D46" s="237"/>
    </row>
    <row r="47" spans="2:7" ht="15.75" customHeight="1">
      <c r="C47" s="236" t="s">
        <v>144</v>
      </c>
      <c r="D47" s="237"/>
    </row>
    <row r="48" spans="2:7" ht="15.75" customHeight="1">
      <c r="C48" s="236" t="s">
        <v>145</v>
      </c>
      <c r="D48" s="237"/>
    </row>
    <row r="49" spans="2:7" ht="15.75" customHeight="1">
      <c r="C49" s="236"/>
      <c r="D49" s="236"/>
      <c r="E49" s="236"/>
      <c r="F49" s="236"/>
      <c r="G49" s="236"/>
    </row>
    <row r="50" spans="2:7" ht="15.75" customHeight="1">
      <c r="B50" s="539" t="s">
        <v>146</v>
      </c>
      <c r="C50" s="539"/>
      <c r="D50" s="539"/>
      <c r="E50" s="539"/>
      <c r="F50" s="539"/>
      <c r="G50" s="539"/>
    </row>
    <row r="51" spans="2:7" ht="15.75" customHeight="1">
      <c r="B51" s="535" t="s">
        <v>394</v>
      </c>
      <c r="C51" s="535"/>
      <c r="D51" s="535"/>
      <c r="E51" s="535"/>
      <c r="F51" s="535"/>
      <c r="G51" s="535"/>
    </row>
    <row r="52" spans="2:7" ht="15.75" customHeight="1">
      <c r="B52" s="535"/>
      <c r="C52" s="535"/>
      <c r="D52" s="535"/>
      <c r="E52" s="535"/>
      <c r="F52" s="535"/>
      <c r="G52" s="535"/>
    </row>
    <row r="53" spans="2:7" ht="15.75" customHeight="1">
      <c r="B53" s="535"/>
      <c r="C53" s="535"/>
      <c r="D53" s="535"/>
      <c r="E53" s="535"/>
      <c r="F53" s="535"/>
      <c r="G53" s="535"/>
    </row>
    <row r="54" spans="2:7" ht="15.75" customHeight="1">
      <c r="B54" s="535"/>
      <c r="C54" s="535"/>
      <c r="D54" s="535"/>
      <c r="E54" s="535"/>
      <c r="F54" s="535"/>
      <c r="G54" s="535"/>
    </row>
    <row r="55" spans="2:7" ht="15.75" customHeight="1">
      <c r="B55" s="535"/>
      <c r="C55" s="535"/>
      <c r="D55" s="535"/>
      <c r="E55" s="535"/>
      <c r="F55" s="535"/>
      <c r="G55" s="535"/>
    </row>
    <row r="56" spans="2:7" ht="15.75" customHeight="1">
      <c r="B56" s="535"/>
      <c r="C56" s="535"/>
      <c r="D56" s="535"/>
      <c r="E56" s="535"/>
      <c r="F56" s="535"/>
      <c r="G56" s="535"/>
    </row>
    <row r="57" spans="2:7" ht="15.75" customHeight="1">
      <c r="B57" s="535"/>
      <c r="C57" s="535"/>
      <c r="D57" s="535"/>
      <c r="E57" s="535"/>
      <c r="F57" s="535"/>
      <c r="G57" s="535"/>
    </row>
    <row r="58" spans="2:7" ht="19.5" customHeight="1"/>
    <row r="59" spans="2:7" ht="15.75" customHeight="1"/>
    <row r="60" spans="2:7" ht="15.75" customHeight="1"/>
    <row r="61" spans="2:7" ht="15.75" customHeight="1"/>
    <row r="62" spans="2:7" ht="15.75" customHeight="1"/>
    <row r="63" spans="2:7" ht="15.75" customHeight="1"/>
    <row r="64" spans="2:7" ht="15.75" customHeight="1"/>
    <row r="65" ht="19.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15">
    <mergeCell ref="B44:G44"/>
    <mergeCell ref="B50:G50"/>
    <mergeCell ref="B51:G57"/>
    <mergeCell ref="C11:F15"/>
    <mergeCell ref="B11:B15"/>
    <mergeCell ref="C9:F9"/>
    <mergeCell ref="C10:F10"/>
    <mergeCell ref="B17:G17"/>
    <mergeCell ref="B26:G26"/>
    <mergeCell ref="B2:J2"/>
    <mergeCell ref="B4:F4"/>
    <mergeCell ref="C5:F5"/>
    <mergeCell ref="C6:F6"/>
    <mergeCell ref="C7:F7"/>
    <mergeCell ref="C8:F8"/>
  </mergeCells>
  <dataValidations count="2">
    <dataValidation type="list" allowBlank="1" sqref="C6" xr:uid="{00000000-0002-0000-0B00-000000000000}">
      <formula1>"FMCG,Banking,Oil &amp; Gas"</formula1>
    </dataValidation>
    <dataValidation type="list" allowBlank="1" sqref="D45:D48" xr:uid="{00000000-0002-0000-0B00-000001000000}">
      <formula1>"1,2,3,4,5"</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1E50-4057-49CC-876C-3C3E36F8B9A5}">
  <dimension ref="B2:J53"/>
  <sheetViews>
    <sheetView zoomScale="47" zoomScaleNormal="47" workbookViewId="0">
      <selection activeCell="N43" sqref="N43"/>
    </sheetView>
  </sheetViews>
  <sheetFormatPr defaultColWidth="9.140625" defaultRowHeight="14.45" customHeight="1"/>
  <cols>
    <col min="1" max="1" width="9.140625" style="81" customWidth="1"/>
    <col min="2" max="2" width="45.140625" style="81" customWidth="1"/>
    <col min="3" max="3" width="38.5703125" style="81" customWidth="1"/>
    <col min="4" max="8" width="15" style="81" customWidth="1"/>
    <col min="9" max="9" width="12.28515625" style="81" customWidth="1"/>
    <col min="10" max="10" width="15.5703125" style="81" customWidth="1"/>
    <col min="11" max="11" width="9.140625" style="81" customWidth="1"/>
    <col min="12" max="16384" width="9.140625" style="81"/>
  </cols>
  <sheetData>
    <row r="2" spans="2:10" ht="15.75">
      <c r="B2" s="561" t="s">
        <v>103</v>
      </c>
      <c r="C2" s="561"/>
      <c r="D2" s="561"/>
      <c r="E2" s="561"/>
      <c r="F2" s="561"/>
      <c r="G2" s="561"/>
      <c r="H2"/>
      <c r="I2"/>
      <c r="J2"/>
    </row>
    <row r="4" spans="2:10" ht="15">
      <c r="B4" s="539" t="s">
        <v>104</v>
      </c>
      <c r="C4" s="539"/>
      <c r="D4" s="539"/>
      <c r="E4" s="539"/>
      <c r="F4" s="539"/>
      <c r="G4" s="539"/>
      <c r="H4" s="244"/>
      <c r="I4" s="244"/>
      <c r="J4" s="244"/>
    </row>
    <row r="5" spans="2:10" ht="15">
      <c r="B5" s="245" t="s">
        <v>3</v>
      </c>
      <c r="C5" s="555" t="s">
        <v>395</v>
      </c>
      <c r="D5" s="556"/>
      <c r="E5" s="556"/>
    </row>
    <row r="6" spans="2:10" ht="15">
      <c r="B6" s="221" t="s">
        <v>5</v>
      </c>
      <c r="C6" s="557" t="s">
        <v>374</v>
      </c>
      <c r="D6" s="558"/>
      <c r="E6" s="558"/>
    </row>
    <row r="7" spans="2:10" ht="15">
      <c r="B7" s="221" t="s">
        <v>107</v>
      </c>
      <c r="C7" s="551" t="s">
        <v>391</v>
      </c>
      <c r="D7" s="551"/>
      <c r="E7" s="551"/>
    </row>
    <row r="8" spans="2:10" ht="15">
      <c r="B8" s="221" t="s">
        <v>109</v>
      </c>
      <c r="C8" s="559">
        <v>408750</v>
      </c>
      <c r="D8" s="560"/>
      <c r="E8" s="560"/>
    </row>
    <row r="9" spans="2:10" ht="15">
      <c r="B9" s="221" t="s">
        <v>11</v>
      </c>
      <c r="C9" s="557" t="s">
        <v>396</v>
      </c>
      <c r="D9" s="558"/>
      <c r="E9" s="558"/>
    </row>
    <row r="10" spans="2:10" ht="14.65" customHeight="1">
      <c r="B10" s="221" t="s">
        <v>112</v>
      </c>
      <c r="C10" s="540" t="s">
        <v>377</v>
      </c>
      <c r="D10" s="540"/>
      <c r="E10" s="540"/>
      <c r="F10" s="223"/>
    </row>
    <row r="11" spans="2:10" ht="14.65" customHeight="1">
      <c r="B11" s="553" t="s">
        <v>13</v>
      </c>
      <c r="C11" s="552" t="s">
        <v>397</v>
      </c>
      <c r="D11" s="552"/>
      <c r="E11" s="552"/>
      <c r="F11" s="247"/>
      <c r="G11" s="248"/>
      <c r="H11" s="248"/>
      <c r="I11" s="248"/>
      <c r="J11" s="248"/>
    </row>
    <row r="12" spans="2:10" ht="15">
      <c r="B12" s="553"/>
      <c r="C12" s="552"/>
      <c r="D12" s="552"/>
      <c r="E12" s="552"/>
      <c r="J12" s="248"/>
    </row>
    <row r="13" spans="2:10" ht="15">
      <c r="B13" s="553"/>
      <c r="C13" s="552"/>
      <c r="D13" s="552"/>
      <c r="E13" s="552"/>
      <c r="F13" s="248"/>
      <c r="G13" s="248"/>
      <c r="H13" s="248"/>
      <c r="I13" s="248"/>
      <c r="J13" s="248"/>
    </row>
    <row r="14" spans="2:10" ht="15">
      <c r="B14" s="553"/>
      <c r="C14" s="552"/>
      <c r="D14" s="552"/>
      <c r="E14" s="552"/>
      <c r="F14" s="248"/>
      <c r="G14" s="248"/>
      <c r="H14" s="248"/>
      <c r="I14" s="248"/>
      <c r="J14" s="248"/>
    </row>
    <row r="15" spans="2:10" ht="15">
      <c r="C15" s="249"/>
      <c r="D15" s="249"/>
      <c r="E15" s="249"/>
      <c r="F15" s="248"/>
      <c r="G15" s="248"/>
      <c r="H15" s="248"/>
      <c r="I15" s="248"/>
      <c r="J15" s="248"/>
    </row>
    <row r="16" spans="2:10" ht="15">
      <c r="C16" s="250"/>
      <c r="D16" s="250"/>
      <c r="E16" s="250"/>
      <c r="F16" s="248"/>
      <c r="G16" s="248"/>
      <c r="H16" s="248"/>
      <c r="I16" s="248"/>
      <c r="J16" s="248"/>
    </row>
    <row r="17" spans="2:10" ht="15">
      <c r="B17" s="539" t="s">
        <v>115</v>
      </c>
      <c r="C17" s="539"/>
      <c r="D17" s="539"/>
      <c r="E17" s="539"/>
      <c r="F17" s="539"/>
      <c r="G17" s="539"/>
      <c r="H17" s="244"/>
      <c r="I17" s="244"/>
      <c r="J17" s="244"/>
    </row>
    <row r="18" spans="2:10" ht="15.75">
      <c r="B18" s="224"/>
      <c r="C18" s="225" t="s">
        <v>116</v>
      </c>
      <c r="D18" s="225" t="s">
        <v>117</v>
      </c>
      <c r="E18" s="225" t="s">
        <v>118</v>
      </c>
      <c r="F18" s="225" t="s">
        <v>119</v>
      </c>
      <c r="G18" s="225" t="s">
        <v>120</v>
      </c>
      <c r="I18" s="251"/>
      <c r="J18" s="251"/>
    </row>
    <row r="19" spans="2:10" ht="15">
      <c r="B19" s="227" t="s">
        <v>125</v>
      </c>
      <c r="C19" s="98">
        <v>57000</v>
      </c>
      <c r="D19" s="98">
        <v>64000</v>
      </c>
      <c r="E19" s="98">
        <v>68142</v>
      </c>
      <c r="F19" s="98">
        <v>94274</v>
      </c>
      <c r="G19" s="252">
        <v>67858.12</v>
      </c>
      <c r="I19" s="94"/>
      <c r="J19" s="94"/>
    </row>
    <row r="20" spans="2:10" ht="15">
      <c r="B20" s="227" t="s">
        <v>126</v>
      </c>
      <c r="C20" s="98">
        <v>9990</v>
      </c>
      <c r="D20" s="98">
        <v>12089</v>
      </c>
      <c r="E20" s="98">
        <v>14925</v>
      </c>
      <c r="F20" s="98">
        <v>18213</v>
      </c>
      <c r="G20" s="252">
        <v>13767.43</v>
      </c>
      <c r="I20" s="94"/>
      <c r="J20" s="94"/>
    </row>
    <row r="21" spans="2:10" ht="15">
      <c r="B21" s="227" t="s">
        <v>127</v>
      </c>
      <c r="C21" s="253">
        <v>23330</v>
      </c>
      <c r="D21" s="253">
        <v>23965</v>
      </c>
      <c r="E21" s="253">
        <v>29935</v>
      </c>
      <c r="F21" s="253">
        <v>40780</v>
      </c>
      <c r="G21" s="253">
        <v>56740</v>
      </c>
      <c r="I21" s="94"/>
      <c r="J21" s="94"/>
    </row>
    <row r="22" spans="2:10" ht="15">
      <c r="B22" s="227" t="s">
        <v>128</v>
      </c>
      <c r="C22" s="224">
        <v>50</v>
      </c>
      <c r="D22" s="224">
        <v>60.5</v>
      </c>
      <c r="E22" s="224">
        <v>74.8</v>
      </c>
      <c r="F22" s="224">
        <v>91.3</v>
      </c>
      <c r="G22" s="224">
        <v>82.74</v>
      </c>
      <c r="I22" s="94"/>
      <c r="J22" s="94"/>
    </row>
    <row r="23" spans="2:10" ht="15">
      <c r="B23" s="227" t="s">
        <v>129</v>
      </c>
      <c r="C23" s="224">
        <v>0.9</v>
      </c>
      <c r="D23" s="224">
        <v>1.1000000000000001</v>
      </c>
      <c r="E23" s="224">
        <v>1.5</v>
      </c>
      <c r="F23" s="224">
        <v>2</v>
      </c>
      <c r="G23" s="224">
        <v>2.5</v>
      </c>
      <c r="I23" s="94"/>
      <c r="J23" s="94"/>
    </row>
    <row r="25" spans="2:10" ht="15">
      <c r="B25" s="539" t="s">
        <v>131</v>
      </c>
      <c r="C25" s="539"/>
      <c r="D25" s="539"/>
      <c r="E25" s="539"/>
      <c r="F25" s="539"/>
      <c r="G25" s="539"/>
      <c r="H25" s="244"/>
      <c r="I25" s="244"/>
      <c r="J25" s="244"/>
    </row>
    <row r="26" spans="2:10" ht="15.75">
      <c r="B26" s="224"/>
      <c r="C26" s="225" t="s">
        <v>116</v>
      </c>
      <c r="D26" s="225" t="s">
        <v>117</v>
      </c>
      <c r="E26" s="225" t="s">
        <v>118</v>
      </c>
      <c r="F26" s="225" t="s">
        <v>119</v>
      </c>
      <c r="G26" s="225" t="s">
        <v>120</v>
      </c>
      <c r="I26" s="251"/>
      <c r="J26" s="251"/>
    </row>
    <row r="27" spans="2:10" ht="15">
      <c r="B27" s="221" t="s">
        <v>92</v>
      </c>
      <c r="C27" s="230">
        <v>35</v>
      </c>
      <c r="D27" s="230">
        <v>32</v>
      </c>
      <c r="E27" s="230">
        <v>28</v>
      </c>
      <c r="F27" s="230">
        <v>25</v>
      </c>
      <c r="G27" s="230">
        <v>34</v>
      </c>
    </row>
    <row r="28" spans="2:10" ht="15">
      <c r="B28" s="221" t="s">
        <v>93</v>
      </c>
      <c r="C28" s="230">
        <v>4.5</v>
      </c>
      <c r="D28" s="230">
        <v>4.2</v>
      </c>
      <c r="E28" s="230">
        <v>3.8</v>
      </c>
      <c r="F28" s="230">
        <v>3.5</v>
      </c>
      <c r="G28" s="230">
        <v>4.97</v>
      </c>
    </row>
    <row r="29" spans="2:10" ht="15">
      <c r="B29" s="221" t="s">
        <v>95</v>
      </c>
      <c r="C29" s="230">
        <v>10.08</v>
      </c>
      <c r="D29" s="230">
        <v>14.73</v>
      </c>
      <c r="E29" s="230">
        <v>14.47</v>
      </c>
      <c r="F29" s="230">
        <v>11.89</v>
      </c>
      <c r="G29" s="230">
        <v>8.9600000000000009</v>
      </c>
    </row>
    <row r="30" spans="2:10" ht="15">
      <c r="B30" s="221" t="s">
        <v>133</v>
      </c>
      <c r="C30" s="230">
        <v>0.2</v>
      </c>
      <c r="D30" s="230">
        <v>0.3</v>
      </c>
      <c r="E30" s="230">
        <v>0.4</v>
      </c>
      <c r="F30" s="230">
        <v>0.5</v>
      </c>
      <c r="G30" s="230">
        <v>0.2</v>
      </c>
    </row>
    <row r="31" spans="2:10" ht="15">
      <c r="B31" s="221" t="s">
        <v>134</v>
      </c>
      <c r="C31" s="230">
        <v>0.56999999999999995</v>
      </c>
      <c r="D31" s="230">
        <v>0.51</v>
      </c>
      <c r="E31" s="230">
        <v>0.57999999999999996</v>
      </c>
      <c r="F31" s="230">
        <v>0.57999999999999996</v>
      </c>
      <c r="G31" s="230">
        <v>0.62</v>
      </c>
    </row>
    <row r="33" spans="2:10" ht="15">
      <c r="C33" s="236"/>
      <c r="D33" s="94"/>
      <c r="E33" s="94"/>
      <c r="F33" s="94"/>
      <c r="G33" s="94"/>
      <c r="H33" s="94"/>
    </row>
    <row r="34" spans="2:10" ht="15.4" customHeight="1">
      <c r="B34" s="231" t="s">
        <v>382</v>
      </c>
      <c r="C34" s="225" t="s">
        <v>116</v>
      </c>
      <c r="D34" s="225" t="s">
        <v>117</v>
      </c>
      <c r="E34" s="225" t="s">
        <v>118</v>
      </c>
      <c r="F34" s="225" t="s">
        <v>119</v>
      </c>
      <c r="G34" s="225" t="s">
        <v>120</v>
      </c>
    </row>
    <row r="35" spans="2:10" ht="15">
      <c r="B35" s="236" t="s">
        <v>383</v>
      </c>
      <c r="C35" s="237">
        <v>1.8</v>
      </c>
      <c r="D35" s="237">
        <v>2</v>
      </c>
      <c r="E35" s="237">
        <v>2.2000000000000002</v>
      </c>
      <c r="F35" s="237">
        <v>2.4</v>
      </c>
      <c r="G35" s="237">
        <v>1.42</v>
      </c>
    </row>
    <row r="36" spans="2:10" ht="15">
      <c r="B36" s="236" t="s">
        <v>384</v>
      </c>
      <c r="C36" s="237">
        <v>4.5</v>
      </c>
      <c r="D36" s="237">
        <v>4.7</v>
      </c>
      <c r="E36" s="237">
        <v>5.4</v>
      </c>
      <c r="F36" s="237">
        <v>5.3</v>
      </c>
      <c r="G36" s="237">
        <v>3.6</v>
      </c>
    </row>
    <row r="37" spans="2:10" ht="15">
      <c r="B37" s="236" t="s">
        <v>385</v>
      </c>
      <c r="C37" s="237">
        <v>1.5</v>
      </c>
      <c r="D37" s="237">
        <v>1.4</v>
      </c>
      <c r="E37" s="237">
        <v>1.3</v>
      </c>
      <c r="F37" s="237">
        <v>1.2</v>
      </c>
      <c r="G37" s="237">
        <v>1.45</v>
      </c>
    </row>
    <row r="38" spans="2:10" ht="15">
      <c r="B38" s="236" t="s">
        <v>386</v>
      </c>
      <c r="C38" s="237">
        <v>56.16</v>
      </c>
      <c r="D38" s="237">
        <v>60.44</v>
      </c>
      <c r="E38" s="237">
        <v>60.68</v>
      </c>
      <c r="F38" s="237">
        <v>52.82</v>
      </c>
      <c r="G38" s="237">
        <v>43.4</v>
      </c>
    </row>
    <row r="39" spans="2:10" ht="15">
      <c r="B39" s="236" t="s">
        <v>387</v>
      </c>
      <c r="C39" s="237">
        <v>45</v>
      </c>
      <c r="D39" s="237">
        <v>44</v>
      </c>
      <c r="E39" s="237">
        <v>43</v>
      </c>
      <c r="F39" s="237">
        <v>42</v>
      </c>
      <c r="G39" s="237">
        <v>34</v>
      </c>
    </row>
    <row r="40" spans="2:10" ht="15">
      <c r="B40" s="236" t="s">
        <v>388</v>
      </c>
      <c r="C40" s="237">
        <v>21</v>
      </c>
      <c r="D40" s="237">
        <v>21.5</v>
      </c>
      <c r="E40" s="237">
        <v>21.8</v>
      </c>
      <c r="F40" s="237">
        <v>22</v>
      </c>
      <c r="G40" s="237">
        <v>22.25</v>
      </c>
    </row>
    <row r="42" spans="2:10" ht="15">
      <c r="B42" s="536" t="s">
        <v>141</v>
      </c>
      <c r="C42" s="537"/>
      <c r="D42" s="537"/>
      <c r="E42" s="537"/>
      <c r="F42" s="537"/>
      <c r="G42" s="538"/>
      <c r="H42" s="248"/>
      <c r="I42" s="248"/>
      <c r="J42" s="248"/>
    </row>
    <row r="43" spans="2:10" ht="15">
      <c r="C43" s="236" t="s">
        <v>142</v>
      </c>
      <c r="D43" s="237"/>
    </row>
    <row r="44" spans="2:10" ht="15">
      <c r="C44" s="236" t="s">
        <v>143</v>
      </c>
      <c r="D44" s="237"/>
    </row>
    <row r="45" spans="2:10" ht="15">
      <c r="C45" s="236" t="s">
        <v>144</v>
      </c>
      <c r="D45" s="237"/>
    </row>
    <row r="46" spans="2:10" ht="15">
      <c r="C46" s="236" t="s">
        <v>145</v>
      </c>
      <c r="D46" s="237"/>
    </row>
    <row r="47" spans="2:10" ht="15">
      <c r="C47" s="236"/>
      <c r="D47" s="236"/>
      <c r="E47" s="236"/>
      <c r="F47" s="236"/>
      <c r="G47" s="236"/>
    </row>
    <row r="48" spans="2:10" ht="15">
      <c r="B48" s="539" t="s">
        <v>146</v>
      </c>
      <c r="C48" s="539"/>
      <c r="D48" s="539"/>
      <c r="E48" s="539"/>
      <c r="F48" s="539"/>
      <c r="G48" s="539"/>
    </row>
    <row r="49" spans="2:7" ht="15">
      <c r="B49" s="554" t="s">
        <v>398</v>
      </c>
      <c r="C49" s="554"/>
      <c r="D49" s="554"/>
      <c r="E49" s="554"/>
      <c r="F49" s="554"/>
      <c r="G49" s="554"/>
    </row>
    <row r="50" spans="2:7" ht="15">
      <c r="B50" s="550" t="s">
        <v>399</v>
      </c>
      <c r="C50" s="550"/>
      <c r="D50" s="550"/>
      <c r="E50" s="550"/>
      <c r="F50" s="550"/>
      <c r="G50" s="550"/>
    </row>
    <row r="51" spans="2:7" ht="15">
      <c r="B51" s="550" t="s">
        <v>400</v>
      </c>
      <c r="C51" s="550"/>
      <c r="D51" s="550"/>
      <c r="E51" s="550"/>
      <c r="F51" s="550"/>
      <c r="G51" s="550"/>
    </row>
    <row r="53" spans="2:7" ht="15"/>
  </sheetData>
  <mergeCells count="17">
    <mergeCell ref="C5:E5"/>
    <mergeCell ref="C6:E6"/>
    <mergeCell ref="C8:E8"/>
    <mergeCell ref="C9:E9"/>
    <mergeCell ref="B2:G2"/>
    <mergeCell ref="B4:G4"/>
    <mergeCell ref="B51:G51"/>
    <mergeCell ref="C7:E7"/>
    <mergeCell ref="C11:E14"/>
    <mergeCell ref="B11:B14"/>
    <mergeCell ref="C10:E10"/>
    <mergeCell ref="B17:G17"/>
    <mergeCell ref="B25:G25"/>
    <mergeCell ref="B42:G42"/>
    <mergeCell ref="B49:G49"/>
    <mergeCell ref="B48:G48"/>
    <mergeCell ref="B50:G50"/>
  </mergeCells>
  <dataValidations count="2">
    <dataValidation type="list" allowBlank="1" sqref="C6" xr:uid="{00000000-0002-0000-0C00-000000000000}">
      <formula1>"FMCG,Banking,Oil &amp; Gas"</formula1>
    </dataValidation>
    <dataValidation type="list" allowBlank="1" sqref="D43:D46" xr:uid="{00000000-0002-0000-0C00-000001000000}">
      <formula1>"1,2,3,4,5"</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49C36-3869-4C1A-9E57-14651429B9A5}">
  <dimension ref="B2:K59"/>
  <sheetViews>
    <sheetView topLeftCell="A30" workbookViewId="0">
      <selection activeCell="B2" sqref="B2:K2"/>
    </sheetView>
  </sheetViews>
  <sheetFormatPr defaultColWidth="9.140625" defaultRowHeight="14.45" customHeight="1"/>
  <cols>
    <col min="1" max="1" width="9.140625" style="81" customWidth="1"/>
    <col min="2" max="2" width="19.7109375" style="81" customWidth="1"/>
    <col min="3" max="3" width="9.140625" style="81" customWidth="1"/>
    <col min="4" max="16384" width="9.140625" style="81"/>
  </cols>
  <sheetData>
    <row r="2" spans="2:11" ht="15.75">
      <c r="B2" s="561" t="s">
        <v>103</v>
      </c>
      <c r="C2" s="561"/>
      <c r="D2" s="561"/>
      <c r="E2" s="561"/>
      <c r="F2" s="561"/>
      <c r="G2" s="561"/>
      <c r="H2" s="561"/>
      <c r="I2" s="561"/>
      <c r="J2" s="561"/>
      <c r="K2" s="561"/>
    </row>
    <row r="4" spans="2:11" ht="15">
      <c r="B4" s="539" t="s">
        <v>104</v>
      </c>
      <c r="C4" s="539"/>
      <c r="D4" s="539"/>
      <c r="E4" s="539"/>
      <c r="F4" s="539"/>
      <c r="G4" s="539"/>
      <c r="H4" s="539"/>
      <c r="I4" s="248"/>
      <c r="J4" s="248"/>
    </row>
    <row r="5" spans="2:11" ht="15">
      <c r="B5" s="221" t="s">
        <v>3</v>
      </c>
      <c r="C5" s="549" t="s">
        <v>401</v>
      </c>
      <c r="D5" s="549"/>
      <c r="E5" s="549"/>
      <c r="F5" s="549"/>
      <c r="G5" s="549"/>
      <c r="H5" s="549"/>
    </row>
    <row r="6" spans="2:11" ht="15">
      <c r="B6" s="221" t="s">
        <v>5</v>
      </c>
      <c r="C6" s="549" t="s">
        <v>374</v>
      </c>
      <c r="D6" s="549"/>
      <c r="E6" s="549"/>
      <c r="F6" s="549"/>
      <c r="G6" s="549"/>
      <c r="H6" s="549"/>
    </row>
    <row r="7" spans="2:11" ht="15">
      <c r="B7" s="221" t="s">
        <v>107</v>
      </c>
      <c r="C7" s="549" t="s">
        <v>375</v>
      </c>
      <c r="D7" s="549"/>
      <c r="E7" s="549"/>
      <c r="F7" s="549"/>
      <c r="G7" s="549"/>
      <c r="H7" s="549"/>
    </row>
    <row r="8" spans="2:11" ht="15">
      <c r="B8" s="221" t="s">
        <v>109</v>
      </c>
      <c r="C8" s="563">
        <v>1483448</v>
      </c>
      <c r="D8" s="563"/>
      <c r="E8" s="563"/>
      <c r="F8" s="563"/>
      <c r="G8" s="563"/>
      <c r="H8" s="563"/>
    </row>
    <row r="9" spans="2:11" ht="15">
      <c r="B9" s="221" t="s">
        <v>11</v>
      </c>
      <c r="C9" s="549" t="s">
        <v>402</v>
      </c>
      <c r="D9" s="549"/>
      <c r="E9" s="549"/>
      <c r="F9" s="549"/>
      <c r="G9" s="549"/>
      <c r="H9" s="549"/>
    </row>
    <row r="10" spans="2:11" ht="14.65" customHeight="1">
      <c r="B10" s="221" t="s">
        <v>112</v>
      </c>
      <c r="C10" s="549" t="s">
        <v>377</v>
      </c>
      <c r="D10" s="549"/>
      <c r="E10" s="549"/>
      <c r="F10" s="549"/>
      <c r="G10" s="549"/>
      <c r="H10" s="549"/>
    </row>
    <row r="11" spans="2:11" ht="14.65" customHeight="1">
      <c r="B11" s="564" t="s">
        <v>13</v>
      </c>
      <c r="C11" s="540" t="s">
        <v>403</v>
      </c>
      <c r="D11" s="540"/>
      <c r="E11" s="540"/>
      <c r="F11" s="540"/>
      <c r="G11" s="540"/>
      <c r="H11" s="540"/>
      <c r="I11" s="254"/>
      <c r="J11" s="254"/>
      <c r="K11" s="254"/>
    </row>
    <row r="12" spans="2:11" ht="15">
      <c r="B12" s="565"/>
      <c r="C12" s="540"/>
      <c r="D12" s="540"/>
      <c r="E12" s="540"/>
      <c r="F12" s="540"/>
      <c r="G12" s="540"/>
      <c r="H12" s="540"/>
      <c r="I12" s="254"/>
      <c r="J12" s="254"/>
      <c r="K12" s="254"/>
    </row>
    <row r="13" spans="2:11" ht="15">
      <c r="B13" s="565"/>
      <c r="C13" s="540"/>
      <c r="D13" s="540"/>
      <c r="E13" s="540"/>
      <c r="F13" s="540"/>
      <c r="G13" s="540"/>
      <c r="H13" s="540"/>
      <c r="I13" s="254"/>
      <c r="J13" s="254"/>
      <c r="K13" s="254"/>
    </row>
    <row r="14" spans="2:11" ht="15">
      <c r="B14" s="565"/>
      <c r="C14" s="540"/>
      <c r="D14" s="540"/>
      <c r="E14" s="540"/>
      <c r="F14" s="540"/>
      <c r="G14" s="540"/>
      <c r="H14" s="540"/>
      <c r="I14" s="254"/>
      <c r="J14" s="254"/>
      <c r="K14" s="255"/>
    </row>
    <row r="15" spans="2:11" ht="15">
      <c r="B15" s="565"/>
      <c r="C15" s="540"/>
      <c r="D15" s="540"/>
      <c r="E15" s="540"/>
      <c r="F15" s="540"/>
      <c r="G15" s="540"/>
      <c r="H15" s="540"/>
      <c r="I15" s="254"/>
      <c r="J15" s="254"/>
      <c r="K15" s="255"/>
    </row>
    <row r="16" spans="2:11" ht="15">
      <c r="B16" s="565"/>
      <c r="C16" s="540"/>
      <c r="D16" s="540"/>
      <c r="E16" s="540"/>
      <c r="F16" s="540"/>
      <c r="G16" s="540"/>
      <c r="H16" s="540"/>
      <c r="I16" s="254"/>
      <c r="J16" s="254"/>
      <c r="K16" s="255"/>
    </row>
    <row r="17" spans="2:11" ht="15">
      <c r="B17" s="565"/>
      <c r="C17" s="540"/>
      <c r="D17" s="540"/>
      <c r="E17" s="540"/>
      <c r="F17" s="540"/>
      <c r="G17" s="540"/>
      <c r="H17" s="540"/>
      <c r="I17" s="254"/>
      <c r="J17" s="254"/>
      <c r="K17" s="255"/>
    </row>
    <row r="18" spans="2:11" ht="15">
      <c r="B18" s="565"/>
      <c r="C18" s="540"/>
      <c r="D18" s="540"/>
      <c r="E18" s="540"/>
      <c r="F18" s="540"/>
      <c r="G18" s="540"/>
      <c r="H18" s="540"/>
      <c r="I18" s="254"/>
      <c r="J18" s="254"/>
      <c r="K18" s="255"/>
    </row>
    <row r="19" spans="2:11" ht="15">
      <c r="B19" s="566"/>
      <c r="C19" s="540"/>
      <c r="D19" s="540"/>
      <c r="E19" s="540"/>
      <c r="F19" s="540"/>
      <c r="G19" s="540"/>
      <c r="H19" s="540"/>
      <c r="I19" s="254"/>
      <c r="J19" s="254"/>
      <c r="K19" s="255"/>
    </row>
    <row r="20" spans="2:11" ht="15">
      <c r="B20" s="236"/>
      <c r="C20" s="223"/>
      <c r="D20" s="223"/>
      <c r="E20" s="223"/>
      <c r="F20" s="223"/>
      <c r="G20" s="223"/>
      <c r="H20" s="223"/>
      <c r="I20" s="254"/>
      <c r="J20" s="254"/>
      <c r="K20" s="255"/>
    </row>
    <row r="21" spans="2:11" ht="15">
      <c r="B21" s="236"/>
      <c r="C21" s="223"/>
      <c r="D21" s="223"/>
      <c r="E21" s="223"/>
      <c r="F21" s="223"/>
      <c r="G21" s="223"/>
      <c r="H21" s="223"/>
      <c r="I21" s="254"/>
      <c r="J21" s="254"/>
      <c r="K21" s="255"/>
    </row>
    <row r="22" spans="2:11" ht="15">
      <c r="B22" s="539" t="s">
        <v>115</v>
      </c>
      <c r="C22" s="539"/>
      <c r="D22" s="539"/>
      <c r="E22" s="539"/>
      <c r="F22" s="539"/>
      <c r="G22" s="539"/>
      <c r="H22" s="244"/>
      <c r="I22" s="244"/>
      <c r="J22" s="244"/>
    </row>
    <row r="23" spans="2:11" ht="15.75">
      <c r="B23" s="224"/>
      <c r="C23" s="225" t="s">
        <v>116</v>
      </c>
      <c r="D23" s="225" t="s">
        <v>117</v>
      </c>
      <c r="E23" s="225" t="s">
        <v>118</v>
      </c>
      <c r="F23" s="225" t="s">
        <v>119</v>
      </c>
      <c r="G23" s="225" t="s">
        <v>120</v>
      </c>
      <c r="I23" s="251"/>
      <c r="J23" s="251"/>
    </row>
    <row r="24" spans="2:11" ht="15">
      <c r="B24" s="227" t="s">
        <v>125</v>
      </c>
      <c r="C24" s="98">
        <v>128552</v>
      </c>
      <c r="D24" s="98">
        <v>135936</v>
      </c>
      <c r="E24" s="98">
        <v>170754</v>
      </c>
      <c r="F24" s="98">
        <v>283649</v>
      </c>
      <c r="G24" s="98">
        <v>336367</v>
      </c>
      <c r="I24" s="256"/>
      <c r="J24" s="256"/>
      <c r="K24" s="256"/>
    </row>
    <row r="25" spans="2:11" ht="15">
      <c r="B25" s="227" t="s">
        <v>126</v>
      </c>
      <c r="C25" s="98">
        <v>31857</v>
      </c>
      <c r="D25" s="98">
        <v>38151</v>
      </c>
      <c r="E25" s="98">
        <v>46149</v>
      </c>
      <c r="F25" s="98">
        <v>65446</v>
      </c>
      <c r="G25" s="98">
        <v>73440</v>
      </c>
      <c r="I25" s="256"/>
      <c r="J25" s="256"/>
      <c r="K25" s="256"/>
    </row>
    <row r="26" spans="2:11" ht="15">
      <c r="B26" s="227" t="s">
        <v>127</v>
      </c>
      <c r="C26" s="98">
        <v>92489.36</v>
      </c>
      <c r="D26" s="98">
        <v>98415.96</v>
      </c>
      <c r="E26" s="98">
        <v>83952.83</v>
      </c>
      <c r="F26" s="98">
        <v>218200</v>
      </c>
      <c r="G26" s="98">
        <v>277488</v>
      </c>
      <c r="I26" s="256"/>
      <c r="J26" s="256"/>
      <c r="K26" s="256"/>
    </row>
    <row r="27" spans="2:11" ht="15">
      <c r="B27" s="227" t="s">
        <v>128</v>
      </c>
      <c r="C27" s="224">
        <v>57.74</v>
      </c>
      <c r="D27" s="224">
        <v>68.62</v>
      </c>
      <c r="E27" s="224">
        <v>82.44</v>
      </c>
      <c r="F27" s="224">
        <v>84.33</v>
      </c>
      <c r="G27" s="224">
        <v>92.51</v>
      </c>
      <c r="I27" s="257"/>
      <c r="J27" s="257"/>
      <c r="K27" s="257"/>
    </row>
    <row r="28" spans="2:11" ht="15">
      <c r="B28" s="227" t="s">
        <v>129</v>
      </c>
      <c r="C28" s="229">
        <f>C27*0.11</f>
        <v>6.3513999999999999</v>
      </c>
      <c r="D28" s="229">
        <f t="shared" ref="D28:F28" si="0">D27*0.23</f>
        <v>15.782600000000002</v>
      </c>
      <c r="E28" s="229">
        <f t="shared" si="0"/>
        <v>18.961200000000002</v>
      </c>
      <c r="F28" s="229">
        <f t="shared" si="0"/>
        <v>19.395900000000001</v>
      </c>
      <c r="G28" s="229">
        <f>G27*0.24</f>
        <v>22.202400000000001</v>
      </c>
      <c r="I28" s="257"/>
      <c r="J28" s="257"/>
      <c r="K28" s="257"/>
    </row>
    <row r="30" spans="2:11" ht="15">
      <c r="B30" s="539" t="s">
        <v>131</v>
      </c>
      <c r="C30" s="539"/>
      <c r="D30" s="539"/>
      <c r="E30" s="539"/>
      <c r="F30" s="539"/>
      <c r="G30" s="539"/>
      <c r="H30" s="244"/>
      <c r="I30" s="244"/>
      <c r="J30" s="244"/>
    </row>
    <row r="31" spans="2:11" ht="15.75">
      <c r="B31" s="224"/>
      <c r="C31" s="225" t="s">
        <v>116</v>
      </c>
      <c r="D31" s="225" t="s">
        <v>117</v>
      </c>
      <c r="E31" s="225" t="s">
        <v>118</v>
      </c>
      <c r="F31" s="225" t="s">
        <v>119</v>
      </c>
      <c r="G31" s="225" t="s">
        <v>120</v>
      </c>
      <c r="I31" s="251"/>
      <c r="J31" s="251"/>
    </row>
    <row r="32" spans="2:11" ht="15">
      <c r="B32" s="221" t="s">
        <v>132</v>
      </c>
      <c r="C32" s="232">
        <v>0.16</v>
      </c>
      <c r="D32" s="232">
        <v>0.17</v>
      </c>
      <c r="E32" s="232">
        <v>0.17</v>
      </c>
      <c r="F32" s="232">
        <v>0.17</v>
      </c>
      <c r="G32" s="232">
        <v>0.15</v>
      </c>
    </row>
    <row r="33" spans="2:11" ht="15">
      <c r="B33" s="221" t="s">
        <v>92</v>
      </c>
      <c r="C33" s="230">
        <v>25.9</v>
      </c>
      <c r="D33" s="230">
        <v>21.4</v>
      </c>
      <c r="E33" s="230">
        <v>19.5</v>
      </c>
      <c r="F33" s="230">
        <v>17.2</v>
      </c>
      <c r="G33" s="230">
        <v>21</v>
      </c>
    </row>
    <row r="34" spans="2:11" ht="15">
      <c r="B34" s="221" t="s">
        <v>93</v>
      </c>
      <c r="C34" s="230">
        <v>3.9</v>
      </c>
      <c r="D34" s="230">
        <v>3.3</v>
      </c>
      <c r="E34" s="230">
        <v>3.1</v>
      </c>
      <c r="F34" s="230">
        <v>2.4</v>
      </c>
      <c r="G34" s="230">
        <v>2.9</v>
      </c>
    </row>
    <row r="35" spans="2:11" ht="15">
      <c r="B35" s="221" t="s">
        <v>95</v>
      </c>
      <c r="C35" s="230">
        <v>6.29</v>
      </c>
      <c r="D35" s="230">
        <v>9.76</v>
      </c>
      <c r="E35" s="230">
        <v>9.58</v>
      </c>
      <c r="F35" s="230">
        <v>12.71</v>
      </c>
      <c r="G35" s="230">
        <v>7</v>
      </c>
    </row>
    <row r="36" spans="2:11" ht="15">
      <c r="B36" s="221" t="s">
        <v>133</v>
      </c>
      <c r="C36" s="230">
        <v>1.2</v>
      </c>
      <c r="D36" s="230">
        <v>1.3</v>
      </c>
      <c r="E36" s="230">
        <v>1.4</v>
      </c>
      <c r="F36" s="230">
        <v>1.5</v>
      </c>
      <c r="G36" s="230">
        <v>1.1399999999999999</v>
      </c>
    </row>
    <row r="37" spans="2:11" ht="15">
      <c r="B37" s="221" t="s">
        <v>134</v>
      </c>
      <c r="C37" s="246">
        <v>0.92</v>
      </c>
      <c r="D37" s="246">
        <v>0.88</v>
      </c>
      <c r="E37" s="246">
        <v>1.56</v>
      </c>
      <c r="F37" s="246">
        <v>1.18</v>
      </c>
      <c r="G37" s="246">
        <v>1.18</v>
      </c>
    </row>
    <row r="40" spans="2:11" ht="15.75" customHeight="1">
      <c r="B40" s="231" t="s">
        <v>382</v>
      </c>
      <c r="C40" s="225" t="s">
        <v>116</v>
      </c>
      <c r="D40" s="225" t="s">
        <v>117</v>
      </c>
      <c r="E40" s="225" t="s">
        <v>118</v>
      </c>
      <c r="F40" s="225" t="s">
        <v>119</v>
      </c>
      <c r="G40" s="225" t="s">
        <v>120</v>
      </c>
    </row>
    <row r="41" spans="2:11" ht="15">
      <c r="B41" s="221" t="s">
        <v>383</v>
      </c>
      <c r="C41" s="230">
        <v>1.76</v>
      </c>
      <c r="D41" s="230">
        <v>1.79</v>
      </c>
      <c r="E41" s="230">
        <v>1.81</v>
      </c>
      <c r="F41" s="230">
        <v>1.58</v>
      </c>
      <c r="G41" s="230">
        <v>1.61</v>
      </c>
      <c r="K41" s="258"/>
    </row>
    <row r="42" spans="2:11" ht="15">
      <c r="B42" s="221" t="s">
        <v>384</v>
      </c>
      <c r="C42" s="230">
        <v>3.97</v>
      </c>
      <c r="D42" s="230">
        <v>3.82</v>
      </c>
      <c r="E42" s="230">
        <v>3.92</v>
      </c>
      <c r="F42" s="230">
        <v>3.41</v>
      </c>
      <c r="G42" s="230">
        <v>3.47</v>
      </c>
      <c r="K42" s="259"/>
    </row>
    <row r="43" spans="2:11" ht="15">
      <c r="B43" s="221" t="s">
        <v>385</v>
      </c>
      <c r="C43" s="246">
        <v>1.38</v>
      </c>
      <c r="D43" s="246">
        <v>1.17</v>
      </c>
      <c r="E43" s="246">
        <v>1.24</v>
      </c>
      <c r="F43" s="246">
        <v>1.42</v>
      </c>
      <c r="G43" s="246">
        <v>1.33</v>
      </c>
    </row>
    <row r="44" spans="2:11" ht="15">
      <c r="B44" s="221" t="s">
        <v>386</v>
      </c>
      <c r="C44" s="230">
        <v>46.07</v>
      </c>
      <c r="D44" s="230">
        <v>48.13</v>
      </c>
      <c r="E44" s="230">
        <v>44.37</v>
      </c>
      <c r="F44" s="230">
        <v>38.130000000000003</v>
      </c>
      <c r="G44" s="230">
        <v>34.799999999999997</v>
      </c>
    </row>
    <row r="45" spans="2:11" ht="15">
      <c r="B45" s="221" t="s">
        <v>387</v>
      </c>
      <c r="C45" s="230">
        <v>36.21</v>
      </c>
      <c r="D45" s="230">
        <v>36.94</v>
      </c>
      <c r="E45" s="230">
        <v>40.61</v>
      </c>
      <c r="F45" s="230">
        <v>59.98</v>
      </c>
      <c r="G45" s="230">
        <v>45.35</v>
      </c>
    </row>
    <row r="46" spans="2:11" ht="15">
      <c r="B46" s="221" t="s">
        <v>388</v>
      </c>
      <c r="C46" s="246">
        <v>19.3</v>
      </c>
      <c r="D46" s="246">
        <v>19.399999999999999</v>
      </c>
      <c r="E46" s="246">
        <v>19.3</v>
      </c>
      <c r="F46" s="246">
        <v>20</v>
      </c>
      <c r="G46" s="230">
        <v>19.600000000000001</v>
      </c>
    </row>
    <row r="48" spans="2:11" ht="15">
      <c r="B48" s="536" t="s">
        <v>141</v>
      </c>
      <c r="C48" s="537"/>
      <c r="D48" s="537"/>
      <c r="E48" s="537"/>
      <c r="F48" s="537"/>
      <c r="G48" s="538"/>
      <c r="H48" s="248"/>
      <c r="I48" s="248"/>
      <c r="J48" s="248"/>
    </row>
    <row r="49" spans="2:7" ht="15">
      <c r="C49" s="236" t="s">
        <v>142</v>
      </c>
      <c r="D49" s="237"/>
    </row>
    <row r="50" spans="2:7" ht="15">
      <c r="C50" s="236" t="s">
        <v>143</v>
      </c>
      <c r="D50" s="237"/>
    </row>
    <row r="51" spans="2:7" ht="15">
      <c r="C51" s="236" t="s">
        <v>144</v>
      </c>
      <c r="D51" s="237"/>
    </row>
    <row r="52" spans="2:7" ht="15">
      <c r="C52" s="236" t="s">
        <v>145</v>
      </c>
      <c r="D52" s="237"/>
    </row>
    <row r="53" spans="2:7" ht="15">
      <c r="C53" s="236"/>
      <c r="D53" s="236"/>
      <c r="E53" s="236"/>
      <c r="F53" s="236"/>
      <c r="G53" s="236"/>
    </row>
    <row r="54" spans="2:7" ht="15">
      <c r="B54" s="539" t="s">
        <v>146</v>
      </c>
      <c r="C54" s="539"/>
      <c r="D54" s="539"/>
      <c r="E54" s="539"/>
      <c r="F54" s="539"/>
      <c r="G54" s="539"/>
    </row>
    <row r="55" spans="2:7" ht="14.65" customHeight="1">
      <c r="B55" s="562" t="s">
        <v>404</v>
      </c>
      <c r="C55" s="562"/>
      <c r="D55" s="562"/>
      <c r="E55" s="562"/>
      <c r="F55" s="562"/>
      <c r="G55" s="562"/>
    </row>
    <row r="56" spans="2:7" ht="15">
      <c r="B56" s="562"/>
      <c r="C56" s="562"/>
      <c r="D56" s="562"/>
      <c r="E56" s="562"/>
      <c r="F56" s="562"/>
      <c r="G56" s="562"/>
    </row>
    <row r="57" spans="2:7" ht="15">
      <c r="B57" s="562"/>
      <c r="C57" s="562"/>
      <c r="D57" s="562"/>
      <c r="E57" s="562"/>
      <c r="F57" s="562"/>
      <c r="G57" s="562"/>
    </row>
    <row r="58" spans="2:7" ht="15">
      <c r="B58" s="562"/>
      <c r="C58" s="562"/>
      <c r="D58" s="562"/>
      <c r="E58" s="562"/>
      <c r="F58" s="562"/>
      <c r="G58" s="562"/>
    </row>
    <row r="59" spans="2:7" ht="15">
      <c r="B59" s="562"/>
      <c r="C59" s="562"/>
      <c r="D59" s="562"/>
      <c r="E59" s="562"/>
      <c r="F59" s="562"/>
      <c r="G59" s="562"/>
    </row>
  </sheetData>
  <mergeCells count="15">
    <mergeCell ref="B55:G59"/>
    <mergeCell ref="C8:H8"/>
    <mergeCell ref="C9:H9"/>
    <mergeCell ref="C10:H10"/>
    <mergeCell ref="B11:B19"/>
    <mergeCell ref="C11:H19"/>
    <mergeCell ref="B2:K2"/>
    <mergeCell ref="B22:G22"/>
    <mergeCell ref="B30:G30"/>
    <mergeCell ref="B48:G48"/>
    <mergeCell ref="B54:G54"/>
    <mergeCell ref="B4:H4"/>
    <mergeCell ref="C5:H5"/>
    <mergeCell ref="C6:H6"/>
    <mergeCell ref="C7:H7"/>
  </mergeCells>
  <dataValidations count="2">
    <dataValidation type="list" allowBlank="1" sqref="C6" xr:uid="{00000000-0002-0000-0D00-000000000000}">
      <formula1>"FMCG,Banking,Oil &amp; Gas"</formula1>
    </dataValidation>
    <dataValidation type="list" allowBlank="1" sqref="D49:D52" xr:uid="{00000000-0002-0000-0D00-000001000000}">
      <formula1>"1,2,3,4,5"</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DB19F-8DB4-4675-B8D1-595CCAA7B9A5}">
  <dimension ref="A1:G37"/>
  <sheetViews>
    <sheetView workbookViewId="0">
      <selection activeCell="J26" sqref="J26"/>
    </sheetView>
  </sheetViews>
  <sheetFormatPr defaultColWidth="9.140625" defaultRowHeight="14.45" customHeight="1"/>
  <cols>
    <col min="1" max="1" width="34.5703125" style="81" customWidth="1"/>
    <col min="2" max="2" width="27.28515625" style="81" customWidth="1"/>
    <col min="3" max="3" width="9.140625" style="81" customWidth="1"/>
    <col min="4" max="16384" width="9.140625" style="81"/>
  </cols>
  <sheetData>
    <row r="1" spans="1:6" ht="15">
      <c r="A1" s="260" t="s">
        <v>405</v>
      </c>
      <c r="B1" s="260" t="s">
        <v>406</v>
      </c>
    </row>
    <row r="2" spans="1:6" ht="15">
      <c r="A2" s="261" t="s">
        <v>407</v>
      </c>
      <c r="B2" s="261" t="s">
        <v>408</v>
      </c>
    </row>
    <row r="3" spans="1:6" ht="15">
      <c r="A3" s="261" t="s">
        <v>409</v>
      </c>
      <c r="B3" s="261" t="s">
        <v>374</v>
      </c>
    </row>
    <row r="4" spans="1:6" ht="30">
      <c r="A4" s="261" t="s">
        <v>410</v>
      </c>
      <c r="B4" s="261" t="s">
        <v>375</v>
      </c>
    </row>
    <row r="5" spans="1:6" ht="15">
      <c r="A5" s="261" t="s">
        <v>411</v>
      </c>
      <c r="B5" s="261">
        <v>350000</v>
      </c>
    </row>
    <row r="6" spans="1:6" ht="15">
      <c r="A6" s="261" t="s">
        <v>412</v>
      </c>
      <c r="B6" s="261" t="s">
        <v>413</v>
      </c>
    </row>
    <row r="7" spans="1:6" ht="15">
      <c r="A7" s="261" t="s">
        <v>414</v>
      </c>
      <c r="B7" s="261" t="s">
        <v>415</v>
      </c>
    </row>
    <row r="8" spans="1:6" ht="60">
      <c r="A8" s="261" t="s">
        <v>416</v>
      </c>
      <c r="B8" s="261" t="s">
        <v>417</v>
      </c>
    </row>
    <row r="10" spans="1:6" ht="30">
      <c r="A10" s="260" t="s">
        <v>418</v>
      </c>
      <c r="B10" s="260" t="s">
        <v>116</v>
      </c>
      <c r="C10" s="260" t="s">
        <v>117</v>
      </c>
      <c r="D10" s="260" t="s">
        <v>118</v>
      </c>
      <c r="E10" s="260" t="s">
        <v>419</v>
      </c>
      <c r="F10" s="260" t="s">
        <v>420</v>
      </c>
    </row>
    <row r="11" spans="1:6" ht="15">
      <c r="A11" s="261" t="s">
        <v>379</v>
      </c>
      <c r="B11" s="261">
        <v>73706</v>
      </c>
      <c r="C11" s="261">
        <v>82298</v>
      </c>
      <c r="D11" s="261">
        <v>103621</v>
      </c>
      <c r="E11" s="261">
        <v>115000</v>
      </c>
      <c r="F11" s="261">
        <v>125000</v>
      </c>
    </row>
    <row r="12" spans="1:6" ht="15">
      <c r="A12" s="261" t="s">
        <v>126</v>
      </c>
      <c r="B12" s="261">
        <v>6525</v>
      </c>
      <c r="C12" s="261">
        <v>13025</v>
      </c>
      <c r="D12" s="261">
        <v>21500</v>
      </c>
      <c r="E12" s="261">
        <v>23500</v>
      </c>
      <c r="F12" s="261">
        <v>25500</v>
      </c>
    </row>
    <row r="13" spans="1:6" ht="15">
      <c r="A13" s="261" t="s">
        <v>127</v>
      </c>
      <c r="B13" s="261">
        <v>17000</v>
      </c>
      <c r="C13" s="261">
        <v>26000</v>
      </c>
      <c r="D13" s="261">
        <v>40000</v>
      </c>
      <c r="E13" s="261">
        <v>45000</v>
      </c>
      <c r="F13" s="261">
        <v>49000</v>
      </c>
    </row>
    <row r="14" spans="1:6" ht="15">
      <c r="A14" s="261" t="s">
        <v>128</v>
      </c>
      <c r="B14" s="261">
        <v>21.21</v>
      </c>
      <c r="C14" s="261">
        <v>42.43</v>
      </c>
      <c r="D14" s="261">
        <v>70.12</v>
      </c>
      <c r="E14" s="261">
        <v>76.45</v>
      </c>
      <c r="F14" s="261">
        <v>83.2</v>
      </c>
    </row>
    <row r="15" spans="1:6" ht="15">
      <c r="A15" s="261" t="s">
        <v>129</v>
      </c>
      <c r="B15" s="261">
        <v>1</v>
      </c>
      <c r="C15" s="261">
        <v>2.5</v>
      </c>
      <c r="D15" s="261">
        <v>3</v>
      </c>
      <c r="E15" s="261">
        <v>4</v>
      </c>
      <c r="F15" s="261">
        <v>4.5</v>
      </c>
    </row>
    <row r="16" spans="1:6" ht="15">
      <c r="A16" s="261" t="s">
        <v>421</v>
      </c>
      <c r="B16" s="261">
        <v>660</v>
      </c>
      <c r="C16" s="261">
        <v>750</v>
      </c>
      <c r="D16" s="261">
        <v>820</v>
      </c>
      <c r="E16" s="261">
        <v>950</v>
      </c>
      <c r="F16" s="261">
        <v>980</v>
      </c>
    </row>
    <row r="19" spans="1:7" ht="30">
      <c r="A19" s="260" t="s">
        <v>418</v>
      </c>
      <c r="B19" s="260" t="s">
        <v>116</v>
      </c>
      <c r="C19" s="260" t="s">
        <v>117</v>
      </c>
      <c r="D19" s="260" t="s">
        <v>118</v>
      </c>
      <c r="E19" s="260" t="s">
        <v>419</v>
      </c>
      <c r="F19" s="260" t="s">
        <v>420</v>
      </c>
    </row>
    <row r="20" spans="1:7" ht="15">
      <c r="A20" s="261" t="s">
        <v>132</v>
      </c>
      <c r="B20" s="261">
        <v>9.3000000000000007</v>
      </c>
      <c r="C20" s="261">
        <v>13.9</v>
      </c>
      <c r="D20" s="261">
        <v>18.100000000000001</v>
      </c>
      <c r="E20" s="261">
        <v>17.5</v>
      </c>
      <c r="F20" s="261">
        <v>16.2</v>
      </c>
    </row>
    <row r="21" spans="1:7" ht="15">
      <c r="A21" s="261" t="s">
        <v>92</v>
      </c>
      <c r="B21" s="261">
        <v>31.1</v>
      </c>
      <c r="C21" s="261">
        <v>17.7</v>
      </c>
      <c r="D21" s="261">
        <v>11.7</v>
      </c>
      <c r="E21" s="261">
        <v>12.4</v>
      </c>
      <c r="F21" s="261">
        <v>11.8</v>
      </c>
    </row>
    <row r="22" spans="1:7" ht="15">
      <c r="A22" s="261" t="s">
        <v>93</v>
      </c>
      <c r="B22" s="261">
        <v>2.1</v>
      </c>
      <c r="C22" s="261">
        <v>2</v>
      </c>
      <c r="D22" s="261">
        <v>1.9</v>
      </c>
      <c r="E22" s="261">
        <v>1.8</v>
      </c>
      <c r="F22" s="261">
        <v>1.7</v>
      </c>
    </row>
    <row r="23" spans="1:7" ht="15">
      <c r="A23" s="261" t="s">
        <v>95</v>
      </c>
      <c r="B23" s="261">
        <v>45.2</v>
      </c>
      <c r="C23" s="261">
        <v>32</v>
      </c>
      <c r="D23" s="261">
        <v>20.5</v>
      </c>
      <c r="E23" s="261">
        <v>19</v>
      </c>
      <c r="F23" s="261">
        <v>17.5</v>
      </c>
    </row>
    <row r="24" spans="1:7" ht="15">
      <c r="A24" s="261" t="s">
        <v>133</v>
      </c>
      <c r="B24" s="261">
        <v>0.15</v>
      </c>
      <c r="C24" s="261">
        <v>0.33</v>
      </c>
      <c r="D24" s="261">
        <v>0.37</v>
      </c>
      <c r="E24" s="261">
        <v>0.42</v>
      </c>
      <c r="F24" s="261">
        <v>0.46</v>
      </c>
    </row>
    <row r="25" spans="1:7" ht="15">
      <c r="A25" s="261" t="s">
        <v>134</v>
      </c>
      <c r="B25" s="261">
        <v>1.2</v>
      </c>
      <c r="C25" s="261">
        <v>1.1000000000000001</v>
      </c>
      <c r="D25" s="261">
        <v>1</v>
      </c>
      <c r="E25" s="261">
        <v>0.95</v>
      </c>
      <c r="F25" s="261">
        <v>0.9</v>
      </c>
    </row>
    <row r="27" spans="1:7" ht="15">
      <c r="A27" s="262" t="s">
        <v>422</v>
      </c>
      <c r="B27" s="262" t="s">
        <v>418</v>
      </c>
      <c r="C27" s="262" t="s">
        <v>116</v>
      </c>
      <c r="D27" s="262" t="s">
        <v>117</v>
      </c>
      <c r="E27" s="262" t="s">
        <v>118</v>
      </c>
      <c r="F27" s="262" t="s">
        <v>119</v>
      </c>
      <c r="G27" s="262" t="s">
        <v>120</v>
      </c>
    </row>
    <row r="28" spans="1:7" ht="15">
      <c r="A28" s="246" t="s">
        <v>408</v>
      </c>
      <c r="B28" s="246" t="s">
        <v>383</v>
      </c>
      <c r="C28" s="246">
        <v>0.56000000000000005</v>
      </c>
      <c r="D28" s="246">
        <v>1</v>
      </c>
      <c r="E28" s="246">
        <v>1.34</v>
      </c>
      <c r="F28" s="246">
        <v>1.56</v>
      </c>
      <c r="G28" s="246">
        <v>1.67</v>
      </c>
    </row>
    <row r="29" spans="1:7" ht="15">
      <c r="A29" s="246" t="s">
        <v>408</v>
      </c>
      <c r="B29" s="246" t="s">
        <v>384</v>
      </c>
      <c r="C29" s="246">
        <v>3.44</v>
      </c>
      <c r="D29" s="246">
        <v>3.53</v>
      </c>
      <c r="E29" s="246">
        <v>3.84</v>
      </c>
      <c r="F29" s="246">
        <v>4.0199999999999996</v>
      </c>
      <c r="G29" s="246">
        <v>3.97</v>
      </c>
    </row>
    <row r="30" spans="1:7" ht="15">
      <c r="A30" s="246" t="s">
        <v>408</v>
      </c>
      <c r="B30" s="246" t="s">
        <v>385</v>
      </c>
      <c r="C30" s="246">
        <v>3.7</v>
      </c>
      <c r="D30" s="246">
        <v>3</v>
      </c>
      <c r="E30" s="246">
        <v>2</v>
      </c>
      <c r="F30" s="246">
        <v>1.7</v>
      </c>
      <c r="G30" s="246">
        <v>1.59</v>
      </c>
    </row>
    <row r="31" spans="1:7" ht="15">
      <c r="A31" s="246" t="s">
        <v>408</v>
      </c>
      <c r="B31" s="246" t="s">
        <v>386</v>
      </c>
      <c r="C31" s="246">
        <v>42.12</v>
      </c>
      <c r="D31" s="246">
        <v>44.96</v>
      </c>
      <c r="E31" s="246">
        <v>45.52</v>
      </c>
      <c r="F31" s="246">
        <v>43.92</v>
      </c>
      <c r="G31" s="246">
        <v>39.340000000000003</v>
      </c>
    </row>
    <row r="32" spans="1:7" ht="15">
      <c r="A32" s="246" t="s">
        <v>408</v>
      </c>
      <c r="B32" s="246" t="s">
        <v>387</v>
      </c>
      <c r="C32" s="246">
        <v>41.35</v>
      </c>
      <c r="D32" s="246">
        <v>42.37</v>
      </c>
      <c r="E32" s="246">
        <v>44.26</v>
      </c>
      <c r="F32" s="246">
        <v>44.08</v>
      </c>
      <c r="G32" s="246">
        <v>41.65</v>
      </c>
    </row>
    <row r="33" spans="1:7" ht="15">
      <c r="A33" s="246" t="s">
        <v>408</v>
      </c>
      <c r="B33" s="246" t="s">
        <v>388</v>
      </c>
      <c r="C33" s="246">
        <v>19.12</v>
      </c>
      <c r="D33" s="246">
        <v>18.55</v>
      </c>
      <c r="E33" s="246">
        <v>17.64</v>
      </c>
      <c r="F33" s="246">
        <v>17.39</v>
      </c>
      <c r="G33" s="246">
        <v>17.66</v>
      </c>
    </row>
    <row r="34" spans="1:7" ht="15">
      <c r="A34" s="246"/>
      <c r="B34" s="246"/>
      <c r="C34" s="246"/>
      <c r="D34" s="246"/>
      <c r="E34" s="246"/>
      <c r="F34" s="246"/>
      <c r="G34" s="246"/>
    </row>
    <row r="36" spans="1:7" ht="15">
      <c r="A36" s="262" t="s">
        <v>422</v>
      </c>
      <c r="B36" s="262" t="s">
        <v>423</v>
      </c>
      <c r="C36" s="262" t="s">
        <v>424</v>
      </c>
      <c r="D36" s="262" t="s">
        <v>425</v>
      </c>
      <c r="E36" s="262" t="s">
        <v>426</v>
      </c>
      <c r="F36" s="262" t="s">
        <v>427</v>
      </c>
    </row>
    <row r="37" spans="1:7" ht="15">
      <c r="A37" s="81" t="s">
        <v>408</v>
      </c>
      <c r="B37" s="81">
        <v>4</v>
      </c>
      <c r="C37" s="81">
        <v>4</v>
      </c>
      <c r="D37" s="81">
        <v>4</v>
      </c>
      <c r="E37" s="81">
        <v>4</v>
      </c>
      <c r="F37" s="81" t="s">
        <v>428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54D84-2523-4820-B908-BAF0E12EB9A5}">
  <dimension ref="A1:G36"/>
  <sheetViews>
    <sheetView topLeftCell="A9" workbookViewId="0">
      <selection activeCell="K24" sqref="K24"/>
    </sheetView>
  </sheetViews>
  <sheetFormatPr defaultColWidth="9.140625" defaultRowHeight="14.45" customHeight="1"/>
  <cols>
    <col min="1" max="1" width="28.28515625" style="81" customWidth="1"/>
    <col min="2" max="2" width="46.85546875" style="81" customWidth="1"/>
    <col min="3" max="3" width="9.140625" style="81" customWidth="1"/>
    <col min="4" max="16384" width="9.140625" style="81"/>
  </cols>
  <sheetData>
    <row r="1" spans="1:6" ht="15">
      <c r="A1" s="260" t="s">
        <v>405</v>
      </c>
      <c r="B1" s="260" t="s">
        <v>406</v>
      </c>
    </row>
    <row r="2" spans="1:6" ht="15">
      <c r="A2" s="261" t="s">
        <v>407</v>
      </c>
      <c r="B2" s="261" t="s">
        <v>429</v>
      </c>
    </row>
    <row r="3" spans="1:6" ht="15">
      <c r="A3" s="261" t="s">
        <v>409</v>
      </c>
      <c r="B3" s="261" t="s">
        <v>374</v>
      </c>
    </row>
    <row r="4" spans="1:6" ht="15">
      <c r="A4" s="261" t="s">
        <v>410</v>
      </c>
      <c r="B4" s="261" t="s">
        <v>430</v>
      </c>
    </row>
    <row r="5" spans="1:6" ht="15">
      <c r="A5" s="261" t="s">
        <v>411</v>
      </c>
      <c r="B5" s="261">
        <v>300000</v>
      </c>
    </row>
    <row r="6" spans="1:6" ht="15">
      <c r="A6" s="261" t="s">
        <v>412</v>
      </c>
      <c r="B6" s="261" t="s">
        <v>431</v>
      </c>
    </row>
    <row r="7" spans="1:6" ht="15">
      <c r="A7" s="261" t="s">
        <v>414</v>
      </c>
      <c r="B7" s="261" t="s">
        <v>415</v>
      </c>
    </row>
    <row r="8" spans="1:6" ht="45">
      <c r="A8" s="261" t="s">
        <v>416</v>
      </c>
      <c r="B8" s="261" t="s">
        <v>432</v>
      </c>
    </row>
    <row r="10" spans="1:6" ht="30">
      <c r="A10" s="260" t="s">
        <v>418</v>
      </c>
      <c r="B10" s="260" t="s">
        <v>116</v>
      </c>
      <c r="C10" s="260" t="s">
        <v>117</v>
      </c>
      <c r="D10" s="260" t="s">
        <v>118</v>
      </c>
      <c r="E10" s="260" t="s">
        <v>419</v>
      </c>
      <c r="F10" s="260" t="s">
        <v>420</v>
      </c>
    </row>
    <row r="11" spans="1:6" ht="15">
      <c r="A11" s="261" t="s">
        <v>379</v>
      </c>
      <c r="B11" s="261">
        <v>82000</v>
      </c>
      <c r="C11" s="261">
        <v>85000</v>
      </c>
      <c r="D11" s="261">
        <v>108000</v>
      </c>
      <c r="E11" s="261">
        <v>115000</v>
      </c>
      <c r="F11" s="261">
        <v>122000</v>
      </c>
    </row>
    <row r="12" spans="1:6" ht="15">
      <c r="A12" s="261" t="s">
        <v>126</v>
      </c>
      <c r="B12" s="261">
        <v>8290</v>
      </c>
      <c r="C12" s="261">
        <v>10782</v>
      </c>
      <c r="D12" s="261">
        <v>14600</v>
      </c>
      <c r="E12" s="261">
        <v>15800</v>
      </c>
      <c r="F12" s="261">
        <v>17000</v>
      </c>
    </row>
    <row r="13" spans="1:6" ht="15">
      <c r="A13" s="261" t="s">
        <v>127</v>
      </c>
      <c r="B13" s="261">
        <v>12000</v>
      </c>
      <c r="C13" s="261">
        <v>18000</v>
      </c>
      <c r="D13" s="261">
        <v>25000</v>
      </c>
      <c r="E13" s="261">
        <v>27000</v>
      </c>
      <c r="F13" s="261">
        <v>29000</v>
      </c>
    </row>
    <row r="14" spans="1:6" ht="15">
      <c r="A14" s="261" t="s">
        <v>128</v>
      </c>
      <c r="B14" s="261">
        <v>16.899999999999999</v>
      </c>
      <c r="C14" s="261">
        <v>22.1</v>
      </c>
      <c r="D14" s="261">
        <v>29.8</v>
      </c>
      <c r="E14" s="261">
        <v>31.4</v>
      </c>
      <c r="F14" s="261">
        <v>33.5</v>
      </c>
    </row>
    <row r="15" spans="1:6" ht="15">
      <c r="A15" s="261" t="s">
        <v>129</v>
      </c>
      <c r="B15" s="261">
        <v>1.2</v>
      </c>
      <c r="C15" s="261">
        <v>2.8</v>
      </c>
      <c r="D15" s="261">
        <v>3.5</v>
      </c>
      <c r="E15" s="261">
        <v>3.8</v>
      </c>
      <c r="F15" s="261">
        <v>4.2</v>
      </c>
    </row>
    <row r="16" spans="1:6" ht="15">
      <c r="A16" s="261" t="s">
        <v>421</v>
      </c>
      <c r="B16" s="261">
        <v>82</v>
      </c>
      <c r="C16" s="261">
        <v>95</v>
      </c>
      <c r="D16" s="261">
        <v>170</v>
      </c>
      <c r="E16" s="261">
        <v>200</v>
      </c>
      <c r="F16" s="261">
        <v>210</v>
      </c>
    </row>
    <row r="19" spans="1:7" ht="30">
      <c r="A19" s="260" t="s">
        <v>418</v>
      </c>
      <c r="B19" s="260" t="s">
        <v>116</v>
      </c>
      <c r="C19" s="260" t="s">
        <v>117</v>
      </c>
      <c r="D19" s="260" t="s">
        <v>118</v>
      </c>
      <c r="E19" s="260" t="s">
        <v>419</v>
      </c>
      <c r="F19" s="260" t="s">
        <v>420</v>
      </c>
    </row>
    <row r="20" spans="1:7" ht="15">
      <c r="A20" s="261" t="s">
        <v>132</v>
      </c>
      <c r="B20" s="261">
        <v>7.1</v>
      </c>
      <c r="C20" s="261">
        <v>10.5</v>
      </c>
      <c r="D20" s="261">
        <v>14.7</v>
      </c>
      <c r="E20" s="261">
        <v>14.9</v>
      </c>
      <c r="F20" s="261">
        <v>14.3</v>
      </c>
    </row>
    <row r="21" spans="1:7" ht="15">
      <c r="A21" s="261" t="s">
        <v>92</v>
      </c>
      <c r="B21" s="261">
        <v>4.8499999999999996</v>
      </c>
      <c r="C21" s="261">
        <v>4.3</v>
      </c>
      <c r="D21" s="261">
        <v>5.7</v>
      </c>
      <c r="E21" s="261">
        <v>6.4</v>
      </c>
      <c r="F21" s="261">
        <v>6.3</v>
      </c>
    </row>
    <row r="22" spans="1:7" ht="15">
      <c r="A22" s="261" t="s">
        <v>93</v>
      </c>
      <c r="B22" s="261">
        <v>0.59</v>
      </c>
      <c r="C22" s="261">
        <v>0.65</v>
      </c>
      <c r="D22" s="261">
        <v>0.87</v>
      </c>
      <c r="E22" s="261">
        <v>0.91</v>
      </c>
      <c r="F22" s="261">
        <v>0.88</v>
      </c>
    </row>
    <row r="23" spans="1:7" ht="15">
      <c r="A23" s="261" t="s">
        <v>95</v>
      </c>
      <c r="B23" s="261">
        <v>12.4</v>
      </c>
      <c r="C23" s="261">
        <v>9.5</v>
      </c>
      <c r="D23" s="261">
        <v>6.8</v>
      </c>
      <c r="E23" s="261">
        <v>6.4</v>
      </c>
      <c r="F23" s="261">
        <v>6</v>
      </c>
    </row>
    <row r="24" spans="1:7" ht="15">
      <c r="A24" s="261" t="s">
        <v>133</v>
      </c>
      <c r="B24" s="261">
        <v>1.46</v>
      </c>
      <c r="C24" s="261">
        <v>2.9</v>
      </c>
      <c r="D24" s="261">
        <v>2.1</v>
      </c>
      <c r="E24" s="261">
        <v>2</v>
      </c>
      <c r="F24" s="261">
        <v>2.1</v>
      </c>
    </row>
    <row r="25" spans="1:7" ht="15">
      <c r="A25" s="261" t="s">
        <v>134</v>
      </c>
      <c r="B25" s="261">
        <v>1.5</v>
      </c>
      <c r="C25" s="261">
        <v>1.4</v>
      </c>
      <c r="D25" s="261">
        <v>1.3</v>
      </c>
      <c r="E25" s="261">
        <v>1.25</v>
      </c>
      <c r="F25" s="261">
        <v>1.2</v>
      </c>
    </row>
    <row r="27" spans="1:7" ht="15">
      <c r="A27" s="262" t="s">
        <v>422</v>
      </c>
      <c r="B27" s="262" t="s">
        <v>418</v>
      </c>
      <c r="C27" s="262" t="s">
        <v>116</v>
      </c>
      <c r="D27" s="262" t="s">
        <v>117</v>
      </c>
      <c r="E27" s="262" t="s">
        <v>118</v>
      </c>
      <c r="F27" s="262" t="s">
        <v>119</v>
      </c>
      <c r="G27" s="262" t="s">
        <v>120</v>
      </c>
    </row>
    <row r="28" spans="1:7" ht="15">
      <c r="A28" s="246" t="s">
        <v>429</v>
      </c>
      <c r="B28" s="246" t="s">
        <v>383</v>
      </c>
      <c r="C28" s="246">
        <v>0.23</v>
      </c>
      <c r="D28" s="246">
        <v>0.63</v>
      </c>
      <c r="E28" s="246">
        <v>0.99</v>
      </c>
      <c r="F28" s="246">
        <v>1.06</v>
      </c>
      <c r="G28" s="246">
        <v>1.1399999999999999</v>
      </c>
    </row>
    <row r="29" spans="1:7" ht="15">
      <c r="A29" s="246" t="s">
        <v>429</v>
      </c>
      <c r="B29" s="246" t="s">
        <v>384</v>
      </c>
      <c r="C29" s="246">
        <v>2.72</v>
      </c>
      <c r="D29" s="246">
        <v>3.03</v>
      </c>
      <c r="E29" s="246">
        <v>3.31</v>
      </c>
      <c r="F29" s="246">
        <v>3.37</v>
      </c>
      <c r="G29" s="246">
        <v>3.36</v>
      </c>
    </row>
    <row r="30" spans="1:7" ht="15">
      <c r="A30" s="246" t="s">
        <v>429</v>
      </c>
      <c r="B30" s="246" t="s">
        <v>385</v>
      </c>
      <c r="C30" s="246">
        <v>8.8699999999999992</v>
      </c>
      <c r="D30" s="246">
        <v>6.61</v>
      </c>
      <c r="E30" s="246">
        <v>4.53</v>
      </c>
      <c r="F30" s="246">
        <v>3.19</v>
      </c>
      <c r="G30" s="246">
        <v>2.75</v>
      </c>
    </row>
    <row r="31" spans="1:7" ht="15">
      <c r="A31" s="246" t="s">
        <v>429</v>
      </c>
      <c r="B31" s="246" t="s">
        <v>386</v>
      </c>
      <c r="C31" s="246">
        <v>41.15</v>
      </c>
      <c r="D31" s="246">
        <v>44.24</v>
      </c>
      <c r="E31" s="246">
        <v>43.77</v>
      </c>
      <c r="F31" s="246">
        <v>41.6</v>
      </c>
      <c r="G31" s="246">
        <v>38.770000000000003</v>
      </c>
    </row>
    <row r="32" spans="1:7" ht="15">
      <c r="A32" s="246" t="s">
        <v>429</v>
      </c>
      <c r="B32" s="246" t="s">
        <v>387</v>
      </c>
      <c r="C32" s="246">
        <v>49.38</v>
      </c>
      <c r="D32" s="246">
        <v>50.61</v>
      </c>
      <c r="E32" s="246">
        <v>48.58</v>
      </c>
      <c r="F32" s="246">
        <v>48.62</v>
      </c>
      <c r="G32" s="246">
        <v>46</v>
      </c>
    </row>
    <row r="33" spans="1:7" ht="15">
      <c r="A33" s="246" t="s">
        <v>429</v>
      </c>
      <c r="B33" s="246" t="s">
        <v>388</v>
      </c>
      <c r="C33" s="246">
        <v>14.99</v>
      </c>
      <c r="D33" s="246">
        <v>15.77</v>
      </c>
      <c r="E33" s="246">
        <v>16.3</v>
      </c>
      <c r="F33" s="246">
        <v>15.97</v>
      </c>
      <c r="G33" s="246">
        <v>15.68</v>
      </c>
    </row>
    <row r="35" spans="1:7" ht="15">
      <c r="A35" s="262" t="s">
        <v>422</v>
      </c>
      <c r="B35" s="262" t="s">
        <v>423</v>
      </c>
      <c r="C35" s="262" t="s">
        <v>424</v>
      </c>
      <c r="D35" s="262" t="s">
        <v>425</v>
      </c>
      <c r="E35" s="262" t="s">
        <v>426</v>
      </c>
      <c r="F35" s="262" t="s">
        <v>427</v>
      </c>
    </row>
    <row r="36" spans="1:7" ht="15">
      <c r="A36" s="81" t="s">
        <v>429</v>
      </c>
      <c r="B36" s="81">
        <v>3</v>
      </c>
      <c r="C36" s="81">
        <v>3</v>
      </c>
      <c r="D36" s="81">
        <v>3</v>
      </c>
      <c r="E36" s="81">
        <v>4</v>
      </c>
      <c r="F36" s="81" t="s">
        <v>433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7DDCB-45BA-4297-84AA-23609AD42DDC}">
  <sheetPr>
    <tabColor rgb="FF002060"/>
  </sheetPr>
  <dimension ref="A1"/>
  <sheetViews>
    <sheetView workbookViewId="0">
      <selection activeCell="M30" sqref="M30"/>
    </sheetView>
  </sheetViews>
  <sheetFormatPr defaultRowHeight="1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8D2E5-36F5-49EE-A799-26003FBDB9A5}">
  <dimension ref="B1:Q82"/>
  <sheetViews>
    <sheetView showGridLines="0" workbookViewId="0">
      <selection activeCell="L9" sqref="L9"/>
    </sheetView>
  </sheetViews>
  <sheetFormatPr defaultColWidth="14.42578125" defaultRowHeight="14.45" customHeight="1"/>
  <cols>
    <col min="1" max="3" width="1.28515625" style="289" customWidth="1"/>
    <col min="4" max="4" width="36.85546875" style="289" customWidth="1"/>
    <col min="5" max="5" width="14.42578125" style="289"/>
    <col min="6" max="6" width="15.5703125" style="289" customWidth="1"/>
    <col min="7" max="8" width="14.42578125" style="289"/>
    <col min="9" max="9" width="12.140625" style="289" customWidth="1"/>
    <col min="10" max="14" width="12.28515625" style="289" customWidth="1"/>
    <col min="15" max="16384" width="14.42578125" style="289"/>
  </cols>
  <sheetData>
    <row r="1" spans="3:14" ht="15.75">
      <c r="C1" s="263" t="s">
        <v>103</v>
      </c>
      <c r="D1" s="263"/>
      <c r="E1" s="263"/>
      <c r="F1" s="263"/>
      <c r="G1" s="263"/>
      <c r="H1" s="263"/>
      <c r="I1" s="263"/>
      <c r="J1" s="263"/>
      <c r="K1" s="263"/>
      <c r="L1" s="263"/>
      <c r="M1" s="263"/>
      <c r="N1" s="263"/>
    </row>
    <row r="2" spans="3:14" ht="15">
      <c r="D2" s="264" t="s">
        <v>434</v>
      </c>
    </row>
    <row r="3" spans="3:14" ht="15.75">
      <c r="C3" s="265" t="s">
        <v>104</v>
      </c>
      <c r="D3" s="265"/>
      <c r="E3" s="265"/>
      <c r="F3" s="265"/>
      <c r="G3" s="265"/>
      <c r="H3" s="266" t="s">
        <v>435</v>
      </c>
      <c r="I3" s="265"/>
      <c r="J3" s="265"/>
      <c r="K3" s="265"/>
      <c r="L3" s="265"/>
      <c r="M3" s="265"/>
      <c r="N3" s="265"/>
    </row>
    <row r="4" spans="3:14" ht="15.75">
      <c r="D4" s="267" t="s">
        <v>3</v>
      </c>
      <c r="E4" s="406" t="s">
        <v>436</v>
      </c>
      <c r="F4" s="407"/>
      <c r="H4" s="268" t="s">
        <v>437</v>
      </c>
      <c r="J4" s="269">
        <v>0.24</v>
      </c>
      <c r="L4" s="270" t="s">
        <v>438</v>
      </c>
    </row>
    <row r="5" spans="3:14" ht="15.75">
      <c r="D5" s="267" t="s">
        <v>5</v>
      </c>
      <c r="E5" s="408" t="s">
        <v>439</v>
      </c>
      <c r="F5" s="409"/>
      <c r="H5" s="268" t="s">
        <v>440</v>
      </c>
      <c r="J5" s="271">
        <v>0.19500000000000001</v>
      </c>
    </row>
    <row r="6" spans="3:14" ht="15.75">
      <c r="D6" s="267" t="s">
        <v>441</v>
      </c>
      <c r="E6" s="568" t="s">
        <v>442</v>
      </c>
      <c r="F6" s="569"/>
      <c r="H6" s="268" t="s">
        <v>443</v>
      </c>
      <c r="J6" s="271">
        <v>0.1022</v>
      </c>
    </row>
    <row r="7" spans="3:14" ht="15.75">
      <c r="D7" s="267" t="s">
        <v>444</v>
      </c>
      <c r="E7" s="410">
        <v>191</v>
      </c>
      <c r="F7" s="411"/>
      <c r="H7" s="268" t="s">
        <v>445</v>
      </c>
      <c r="J7" s="271">
        <v>4.6699999999999998E-2</v>
      </c>
    </row>
    <row r="8" spans="3:14" ht="15.75">
      <c r="D8" s="267" t="s">
        <v>446</v>
      </c>
      <c r="E8" s="404">
        <v>6575099643</v>
      </c>
      <c r="F8" s="405"/>
      <c r="H8" s="268" t="s">
        <v>447</v>
      </c>
      <c r="J8" s="271">
        <v>6.5000000000000002E-2</v>
      </c>
    </row>
    <row r="9" spans="3:14" ht="15.75">
      <c r="D9" s="267" t="s">
        <v>109</v>
      </c>
      <c r="E9" s="404">
        <v>125315</v>
      </c>
      <c r="F9" s="405"/>
      <c r="H9" s="272"/>
    </row>
    <row r="10" spans="3:14" ht="15.75">
      <c r="D10" s="267" t="s">
        <v>11</v>
      </c>
      <c r="E10" s="387" t="s">
        <v>448</v>
      </c>
      <c r="F10" s="388"/>
      <c r="H10" s="272"/>
    </row>
    <row r="11" spans="3:14" ht="15.75">
      <c r="D11" s="267" t="s">
        <v>112</v>
      </c>
      <c r="E11" s="389" t="s">
        <v>449</v>
      </c>
      <c r="F11" s="390"/>
    </row>
    <row r="12" spans="3:14" ht="15.75">
      <c r="D12" s="267" t="s">
        <v>13</v>
      </c>
      <c r="E12" s="391" t="s">
        <v>450</v>
      </c>
      <c r="F12" s="392"/>
      <c r="G12" s="392"/>
      <c r="H12" s="392"/>
      <c r="I12" s="392"/>
      <c r="J12" s="392"/>
      <c r="K12" s="392"/>
      <c r="L12" s="392"/>
      <c r="M12" s="392"/>
      <c r="N12" s="393"/>
    </row>
    <row r="13" spans="3:14" ht="15.75">
      <c r="D13" s="267"/>
      <c r="E13" s="394"/>
      <c r="F13" s="395"/>
      <c r="G13" s="395"/>
      <c r="H13" s="395"/>
      <c r="I13" s="395"/>
      <c r="J13" s="395"/>
      <c r="K13" s="395"/>
      <c r="L13" s="395"/>
      <c r="M13" s="395"/>
      <c r="N13" s="396"/>
    </row>
    <row r="14" spans="3:14" ht="15.75">
      <c r="D14" s="267"/>
      <c r="E14" s="394"/>
      <c r="F14" s="395"/>
      <c r="G14" s="395"/>
      <c r="H14" s="395"/>
      <c r="I14" s="395"/>
      <c r="J14" s="395"/>
      <c r="K14" s="395"/>
      <c r="L14" s="395"/>
      <c r="M14" s="395"/>
      <c r="N14" s="396"/>
    </row>
    <row r="15" spans="3:14" ht="15.75">
      <c r="D15" s="267"/>
      <c r="E15" s="394"/>
      <c r="F15" s="395"/>
      <c r="G15" s="395"/>
      <c r="H15" s="395"/>
      <c r="I15" s="395"/>
      <c r="J15" s="395"/>
      <c r="K15" s="395"/>
      <c r="L15" s="395"/>
      <c r="M15" s="395"/>
      <c r="N15" s="396"/>
    </row>
    <row r="16" spans="3:14" ht="15.75">
      <c r="D16" s="267"/>
      <c r="E16" s="394"/>
      <c r="F16" s="395"/>
      <c r="G16" s="395"/>
      <c r="H16" s="395"/>
      <c r="I16" s="395"/>
      <c r="J16" s="395"/>
      <c r="K16" s="395"/>
      <c r="L16" s="395"/>
      <c r="M16" s="395"/>
      <c r="N16" s="396"/>
    </row>
    <row r="17" spans="3:17" ht="15.75">
      <c r="D17" s="267"/>
      <c r="E17" s="394"/>
      <c r="F17" s="395"/>
      <c r="G17" s="395"/>
      <c r="H17" s="395"/>
      <c r="I17" s="395"/>
      <c r="J17" s="395"/>
      <c r="K17" s="395"/>
      <c r="L17" s="395"/>
      <c r="M17" s="395"/>
      <c r="N17" s="396"/>
    </row>
    <row r="18" spans="3:17" ht="15.75">
      <c r="D18" s="267"/>
      <c r="E18" s="394"/>
      <c r="F18" s="395"/>
      <c r="G18" s="395"/>
      <c r="H18" s="395"/>
      <c r="I18" s="395"/>
      <c r="J18" s="395"/>
      <c r="K18" s="395"/>
      <c r="L18" s="395"/>
      <c r="M18" s="395"/>
      <c r="N18" s="396"/>
    </row>
    <row r="19" spans="3:17" ht="15.75">
      <c r="D19" s="267"/>
      <c r="E19" s="394"/>
      <c r="F19" s="395"/>
      <c r="G19" s="395"/>
      <c r="H19" s="395"/>
      <c r="I19" s="395"/>
      <c r="J19" s="395"/>
      <c r="K19" s="395"/>
      <c r="L19" s="395"/>
      <c r="M19" s="395"/>
      <c r="N19" s="396"/>
    </row>
    <row r="20" spans="3:17" ht="4.9000000000000004" customHeight="1">
      <c r="D20" s="267"/>
      <c r="E20" s="397"/>
      <c r="F20" s="398"/>
      <c r="G20" s="398"/>
      <c r="H20" s="398"/>
      <c r="I20" s="398"/>
      <c r="J20" s="398"/>
      <c r="K20" s="398"/>
      <c r="L20" s="398"/>
      <c r="M20" s="398"/>
      <c r="N20" s="399"/>
    </row>
    <row r="21" spans="3:17" ht="15">
      <c r="E21" s="273"/>
      <c r="F21" s="273"/>
    </row>
    <row r="22" spans="3:17" ht="15">
      <c r="C22" s="265" t="s">
        <v>115</v>
      </c>
      <c r="D22" s="265"/>
      <c r="E22" s="265"/>
      <c r="F22" s="265"/>
      <c r="G22" s="265"/>
      <c r="H22" s="265"/>
      <c r="I22" s="265"/>
      <c r="J22" s="265"/>
      <c r="K22" s="265"/>
      <c r="L22" s="400"/>
      <c r="M22" s="401"/>
      <c r="N22" s="401"/>
    </row>
    <row r="23" spans="3:17" ht="15.75">
      <c r="E23" s="274" t="s">
        <v>451</v>
      </c>
      <c r="F23" s="275" t="s">
        <v>452</v>
      </c>
      <c r="G23" s="275" t="s">
        <v>453</v>
      </c>
      <c r="H23" s="275" t="s">
        <v>454</v>
      </c>
      <c r="I23" s="275" t="s">
        <v>455</v>
      </c>
      <c r="J23" s="276" t="s">
        <v>121</v>
      </c>
      <c r="K23" s="276" t="s">
        <v>122</v>
      </c>
      <c r="L23" s="276" t="s">
        <v>123</v>
      </c>
      <c r="M23" s="276" t="s">
        <v>124</v>
      </c>
      <c r="N23" s="276" t="s">
        <v>156</v>
      </c>
    </row>
    <row r="24" spans="3:17" ht="15.75">
      <c r="D24" s="268" t="s">
        <v>125</v>
      </c>
      <c r="E24" s="277">
        <v>57372</v>
      </c>
      <c r="F24" s="278">
        <v>92770</v>
      </c>
      <c r="G24" s="278">
        <v>145668</v>
      </c>
      <c r="H24" s="278">
        <v>133228</v>
      </c>
      <c r="I24" s="278">
        <v>141903</v>
      </c>
      <c r="J24" s="279">
        <f>$I$24*(1+CHOOSE(MATCH($L$4,{"Worst Case","Base Case","Best Case"},0),J5,J8,J6))</f>
        <v>151126.69500000001</v>
      </c>
      <c r="K24" s="279">
        <f>J24*(1+CHOOSE(MATCH($L$4,{"Worst Case","Base Case","Best Case"},0),J5,J8,J6))</f>
        <v>160949.93017499999</v>
      </c>
      <c r="L24" s="279">
        <f>K24*(1+CHOOSE(MATCH($L$4,{"Worst Case","Base Case","Best Case"},0),J5,J8,J6))</f>
        <v>171411.67563637497</v>
      </c>
      <c r="M24" s="279">
        <f>L24*(1+CHOOSE(MATCH($L$4,{"Worst Case","Base Case","Best Case"},0),J5,J8,J6))</f>
        <v>182553.43455273935</v>
      </c>
      <c r="N24" s="279">
        <f>M24*(1+CHOOSE(MATCH($L$4,{"Worst Case","Base Case","Best Case"},0),J5,J8,J6))</f>
        <v>194419.40779866738</v>
      </c>
    </row>
    <row r="25" spans="3:17" ht="15.75">
      <c r="D25" s="268" t="s">
        <v>126</v>
      </c>
      <c r="E25" s="277">
        <v>6143</v>
      </c>
      <c r="F25" s="278">
        <v>12304</v>
      </c>
      <c r="G25" s="278">
        <v>5596</v>
      </c>
      <c r="H25" s="278">
        <v>9903</v>
      </c>
      <c r="I25" s="278">
        <v>12463</v>
      </c>
      <c r="J25" s="278">
        <f>$J$24*J39</f>
        <v>13307.526594677691</v>
      </c>
      <c r="K25" s="278">
        <f>K24*J39</f>
        <v>14172.515823331738</v>
      </c>
      <c r="L25" s="278">
        <f>L24*J39</f>
        <v>15093.7293518483</v>
      </c>
      <c r="M25" s="278">
        <f>M24*J39</f>
        <v>16074.821759718439</v>
      </c>
      <c r="N25" s="278">
        <f>N24*J39</f>
        <v>17119.685174100137</v>
      </c>
    </row>
    <row r="26" spans="3:17" ht="15.75">
      <c r="D26" s="268" t="s">
        <v>127</v>
      </c>
      <c r="E26" s="280">
        <v>10078</v>
      </c>
      <c r="F26" s="281">
        <v>18086</v>
      </c>
      <c r="G26" s="281">
        <v>10322</v>
      </c>
      <c r="H26" s="281">
        <v>16986</v>
      </c>
      <c r="I26" s="281">
        <v>20643</v>
      </c>
      <c r="J26" s="281">
        <f>J24*J38</f>
        <v>21594.310983953397</v>
      </c>
      <c r="K26" s="281">
        <f>K24*J38</f>
        <v>22997.941197910368</v>
      </c>
      <c r="L26" s="281">
        <f>L24*J38</f>
        <v>24492.807375774541</v>
      </c>
      <c r="M26" s="281">
        <f>M24*J38</f>
        <v>26084.839855199883</v>
      </c>
      <c r="N26" s="281">
        <f>N24*J38</f>
        <v>27780.354445787874</v>
      </c>
    </row>
    <row r="27" spans="3:17" ht="15.75">
      <c r="D27" s="268" t="s">
        <v>128</v>
      </c>
      <c r="E27" s="117">
        <v>9.2100000000000009</v>
      </c>
      <c r="F27" s="115">
        <v>18.399999999999999</v>
      </c>
      <c r="G27" s="115">
        <v>8.5399999999999991</v>
      </c>
      <c r="H27" s="115">
        <v>15.06</v>
      </c>
      <c r="I27" s="115">
        <v>18.93</v>
      </c>
      <c r="J27" s="115"/>
      <c r="K27" s="115"/>
      <c r="L27" s="115"/>
      <c r="M27" s="115"/>
      <c r="N27" s="115"/>
    </row>
    <row r="28" spans="3:17" ht="15.75">
      <c r="D28" s="268" t="s">
        <v>129</v>
      </c>
      <c r="E28" s="280">
        <v>5</v>
      </c>
      <c r="F28" s="281">
        <v>6</v>
      </c>
      <c r="G28" s="281">
        <v>5</v>
      </c>
      <c r="H28" s="115">
        <v>5.5</v>
      </c>
      <c r="I28" s="115">
        <v>6.5</v>
      </c>
      <c r="J28" s="115"/>
      <c r="K28" s="115"/>
      <c r="L28" s="115"/>
      <c r="M28" s="115"/>
      <c r="N28" s="115"/>
    </row>
    <row r="29" spans="3:17" ht="15.75">
      <c r="D29" s="268" t="s">
        <v>456</v>
      </c>
      <c r="E29" s="213">
        <v>0.51819999999999999</v>
      </c>
      <c r="F29" s="213">
        <v>0.51800000000000002</v>
      </c>
      <c r="G29" s="213">
        <v>0.51910000000000001</v>
      </c>
      <c r="H29" s="213">
        <v>0.51900000000000002</v>
      </c>
      <c r="I29" s="213">
        <v>0.51880000000000004</v>
      </c>
      <c r="J29" s="115"/>
      <c r="K29" s="115"/>
      <c r="L29" s="115"/>
      <c r="M29" s="115"/>
      <c r="N29" s="115"/>
    </row>
    <row r="31" spans="3:17" ht="15.75">
      <c r="C31" s="265" t="s">
        <v>131</v>
      </c>
      <c r="D31" s="265"/>
      <c r="E31" s="282" t="s">
        <v>116</v>
      </c>
      <c r="F31" s="282" t="s">
        <v>117</v>
      </c>
      <c r="G31" s="282" t="s">
        <v>118</v>
      </c>
      <c r="H31" s="282" t="s">
        <v>119</v>
      </c>
      <c r="I31" s="282" t="s">
        <v>120</v>
      </c>
      <c r="J31" s="265"/>
      <c r="K31" s="265"/>
      <c r="L31" s="265"/>
      <c r="M31" s="265"/>
      <c r="N31" s="265"/>
      <c r="O31" s="283"/>
      <c r="P31" s="283"/>
      <c r="Q31" s="283"/>
    </row>
    <row r="32" spans="3:17" ht="15.75">
      <c r="D32" s="267" t="s">
        <v>132</v>
      </c>
      <c r="E32" s="284">
        <v>0.11550900680681433</v>
      </c>
      <c r="F32" s="284">
        <v>0.19190816358361668</v>
      </c>
      <c r="G32" s="284">
        <v>8.6189104686802104E-2</v>
      </c>
      <c r="H32" s="284">
        <v>0.12861540060002338</v>
      </c>
      <c r="I32" s="284">
        <v>0.14662870454251326</v>
      </c>
    </row>
    <row r="33" spans="3:14" ht="15.75">
      <c r="D33" s="267" t="s">
        <v>92</v>
      </c>
      <c r="E33" s="285">
        <v>20.73832790445168</v>
      </c>
      <c r="F33" s="285">
        <v>10.380434782608697</v>
      </c>
      <c r="G33" s="285">
        <v>22.365339578454336</v>
      </c>
      <c r="H33" s="285">
        <v>12.682602921646746</v>
      </c>
      <c r="I33" s="285">
        <v>10.089804543053354</v>
      </c>
    </row>
    <row r="34" spans="3:14" ht="15.75">
      <c r="D34" s="267" t="s">
        <v>93</v>
      </c>
      <c r="E34" s="286">
        <v>1.5</v>
      </c>
      <c r="F34" s="286">
        <v>1.53</v>
      </c>
      <c r="G34" s="286">
        <v>1.43</v>
      </c>
      <c r="H34" s="286">
        <v>1.46</v>
      </c>
      <c r="I34" s="286">
        <v>1.47</v>
      </c>
    </row>
    <row r="35" spans="3:14" ht="15.75">
      <c r="D35" s="267" t="s">
        <v>95</v>
      </c>
      <c r="E35" s="285">
        <v>13.0147846794999</v>
      </c>
      <c r="F35" s="285">
        <v>7.2833683512108811</v>
      </c>
      <c r="G35" s="285">
        <v>13.759736485177291</v>
      </c>
      <c r="H35" s="285">
        <v>8.5598139644413038</v>
      </c>
      <c r="I35" s="285">
        <v>6.9848859177445135</v>
      </c>
    </row>
    <row r="36" spans="3:14" ht="15.75">
      <c r="D36" s="267" t="s">
        <v>133</v>
      </c>
      <c r="E36" s="287">
        <v>3.6900000000000002E-2</v>
      </c>
      <c r="F36" s="287">
        <v>6.4199999999999993E-2</v>
      </c>
      <c r="G36" s="287">
        <v>4.7600000000000003E-2</v>
      </c>
      <c r="H36" s="284">
        <v>2.8799999999999999E-2</v>
      </c>
      <c r="I36" s="284">
        <v>4.1700000000000001E-2</v>
      </c>
    </row>
    <row r="37" spans="3:14" ht="15.75">
      <c r="D37" s="267" t="s">
        <v>134</v>
      </c>
      <c r="E37" s="285">
        <v>0.14803881012372608</v>
      </c>
      <c r="F37" s="285">
        <v>0.14374395607823565</v>
      </c>
      <c r="G37" s="285">
        <v>0.27440048053968302</v>
      </c>
      <c r="H37" s="285">
        <v>0.28304998896060884</v>
      </c>
      <c r="I37" s="285">
        <v>0.25406779062790452</v>
      </c>
    </row>
    <row r="38" spans="3:14" ht="15.75">
      <c r="D38" s="268" t="s">
        <v>201</v>
      </c>
      <c r="E38" s="287">
        <f>E26/E24</f>
        <v>0.17566060099002997</v>
      </c>
      <c r="F38" s="287">
        <f t="shared" ref="F38:I38" si="0">F26/F24</f>
        <v>0.19495526571089791</v>
      </c>
      <c r="G38" s="287">
        <f t="shared" si="0"/>
        <v>7.0859763297361128E-2</v>
      </c>
      <c r="H38" s="287">
        <f t="shared" si="0"/>
        <v>0.12749572162007985</v>
      </c>
      <c r="I38" s="287">
        <f t="shared" si="0"/>
        <v>0.14547261157269403</v>
      </c>
      <c r="J38" s="288">
        <f>AVERAGE(E38:I38)</f>
        <v>0.14288879263821258</v>
      </c>
    </row>
    <row r="39" spans="3:14" ht="15.75">
      <c r="D39" s="268" t="s">
        <v>138</v>
      </c>
      <c r="E39" s="287">
        <f t="shared" ref="E39:H39" si="1">E25/E24</f>
        <v>0.1070731367217458</v>
      </c>
      <c r="F39" s="287">
        <f t="shared" si="1"/>
        <v>0.13262908267758974</v>
      </c>
      <c r="G39" s="287">
        <f t="shared" si="1"/>
        <v>3.841612433753467E-2</v>
      </c>
      <c r="H39" s="287">
        <f t="shared" si="1"/>
        <v>7.4331221665115438E-2</v>
      </c>
      <c r="I39" s="287">
        <f>I25/I24</f>
        <v>8.7827600544033602E-2</v>
      </c>
      <c r="J39" s="288">
        <f>AVERAGE(E39:I39)</f>
        <v>8.8055433189203863E-2</v>
      </c>
    </row>
    <row r="41" spans="3:14" ht="15.75">
      <c r="C41" s="265" t="s">
        <v>457</v>
      </c>
      <c r="D41" s="265"/>
      <c r="E41" s="282" t="s">
        <v>116</v>
      </c>
      <c r="F41" s="282" t="s">
        <v>117</v>
      </c>
      <c r="G41" s="282" t="s">
        <v>118</v>
      </c>
      <c r="H41" s="282" t="s">
        <v>119</v>
      </c>
      <c r="I41" s="282" t="s">
        <v>120</v>
      </c>
      <c r="J41" s="265"/>
      <c r="K41" s="265"/>
      <c r="L41" s="402"/>
      <c r="M41" s="403"/>
      <c r="N41" s="403"/>
    </row>
    <row r="42" spans="3:14" ht="15.75">
      <c r="D42" s="267" t="s">
        <v>236</v>
      </c>
      <c r="E42" s="290">
        <v>0.13</v>
      </c>
      <c r="F42" s="290">
        <v>0.23</v>
      </c>
      <c r="G42" s="290">
        <v>0.1</v>
      </c>
      <c r="H42" s="290">
        <v>0.15</v>
      </c>
      <c r="I42" s="290">
        <v>0.14000000000000001</v>
      </c>
    </row>
    <row r="43" spans="3:14" ht="15.75">
      <c r="D43" s="267" t="s">
        <v>237</v>
      </c>
      <c r="E43" s="122">
        <v>49</v>
      </c>
      <c r="F43" s="115">
        <v>50</v>
      </c>
      <c r="G43" s="115">
        <v>48</v>
      </c>
      <c r="H43" s="115">
        <v>58</v>
      </c>
      <c r="I43" s="115" t="s">
        <v>130</v>
      </c>
    </row>
    <row r="44" spans="3:14" ht="15.75">
      <c r="D44" s="267" t="s">
        <v>79</v>
      </c>
      <c r="E44" s="291">
        <v>44.156424581005588</v>
      </c>
      <c r="F44" s="291">
        <v>77.554455445544548</v>
      </c>
      <c r="G44" s="291">
        <v>20.876712328767123</v>
      </c>
      <c r="H44" s="291">
        <v>18.517385257301807</v>
      </c>
      <c r="I44" s="291">
        <v>22.518716577540108</v>
      </c>
    </row>
    <row r="45" spans="3:14" ht="15.75">
      <c r="D45" s="267" t="s">
        <v>458</v>
      </c>
      <c r="E45" s="292"/>
      <c r="F45" s="292"/>
      <c r="G45" s="292"/>
      <c r="H45" s="292"/>
      <c r="I45" s="292"/>
    </row>
    <row r="46" spans="3:14" ht="15.75">
      <c r="D46" s="267" t="s">
        <v>459</v>
      </c>
      <c r="E46" s="122">
        <v>2040</v>
      </c>
      <c r="F46" s="115">
        <v>2040</v>
      </c>
      <c r="G46" s="115">
        <v>2040</v>
      </c>
      <c r="H46" s="115">
        <v>2040</v>
      </c>
      <c r="I46" s="115">
        <v>2040</v>
      </c>
    </row>
    <row r="47" spans="3:14" ht="15.75">
      <c r="D47" s="267" t="s">
        <v>460</v>
      </c>
      <c r="E47" s="293">
        <v>1.4</v>
      </c>
      <c r="F47" s="293">
        <v>2.8</v>
      </c>
      <c r="G47" s="293">
        <v>3.2</v>
      </c>
      <c r="H47" s="293">
        <v>3.5</v>
      </c>
      <c r="I47" s="293">
        <v>3.8</v>
      </c>
    </row>
    <row r="48" spans="3:14" ht="15.75">
      <c r="D48" s="267" t="s">
        <v>461</v>
      </c>
      <c r="E48" s="293">
        <v>102.82</v>
      </c>
      <c r="F48" s="293">
        <v>107.86</v>
      </c>
      <c r="G48" s="293">
        <v>113.58</v>
      </c>
      <c r="H48" s="293">
        <v>120.46</v>
      </c>
      <c r="I48" s="293">
        <v>127.32</v>
      </c>
    </row>
    <row r="49" spans="3:14" ht="15.75">
      <c r="D49" s="267"/>
      <c r="E49" s="294"/>
      <c r="F49" s="294"/>
      <c r="G49" s="294"/>
      <c r="H49" s="294"/>
      <c r="I49" s="295"/>
    </row>
    <row r="51" spans="3:14" ht="15">
      <c r="C51" s="265" t="s">
        <v>141</v>
      </c>
      <c r="D51" s="265"/>
      <c r="E51" s="265"/>
      <c r="F51" s="265"/>
      <c r="G51" s="265"/>
      <c r="H51" s="265"/>
      <c r="I51" s="265"/>
      <c r="J51" s="265"/>
      <c r="K51" s="265"/>
      <c r="L51" s="265"/>
      <c r="M51" s="265"/>
      <c r="N51" s="265"/>
    </row>
    <row r="52" spans="3:14" ht="15.75">
      <c r="D52" s="267" t="s">
        <v>239</v>
      </c>
      <c r="E52" s="286">
        <v>4</v>
      </c>
    </row>
    <row r="53" spans="3:14" ht="15.75">
      <c r="D53" s="267" t="s">
        <v>143</v>
      </c>
      <c r="E53" s="286">
        <v>5</v>
      </c>
    </row>
    <row r="54" spans="3:14" ht="15.75">
      <c r="D54" s="267" t="s">
        <v>222</v>
      </c>
      <c r="E54" s="286">
        <v>4.5</v>
      </c>
    </row>
    <row r="55" spans="3:14" ht="15.75">
      <c r="D55" s="267" t="s">
        <v>223</v>
      </c>
      <c r="E55" s="286">
        <v>3.5</v>
      </c>
    </row>
    <row r="56" spans="3:14" ht="15">
      <c r="E56" s="286">
        <f>AVERAGE(E52:E55)</f>
        <v>4.25</v>
      </c>
    </row>
    <row r="57" spans="3:14" ht="15.75">
      <c r="C57" s="266" t="s">
        <v>462</v>
      </c>
      <c r="D57" s="266"/>
      <c r="E57" s="266"/>
      <c r="F57" s="266"/>
      <c r="G57" s="266"/>
      <c r="H57" s="266"/>
      <c r="I57" s="266"/>
      <c r="J57" s="266"/>
      <c r="K57" s="266"/>
      <c r="L57" s="266"/>
      <c r="M57" s="385" t="s">
        <v>463</v>
      </c>
      <c r="N57" s="385"/>
    </row>
    <row r="58" spans="3:14" ht="15.75">
      <c r="E58" s="296"/>
      <c r="F58" s="297" t="s">
        <v>464</v>
      </c>
      <c r="G58" s="297" t="s">
        <v>9</v>
      </c>
      <c r="H58" s="297" t="s">
        <v>465</v>
      </c>
    </row>
    <row r="59" spans="3:14" ht="15.75">
      <c r="D59" s="267" t="s">
        <v>466</v>
      </c>
      <c r="E59" s="298" t="s">
        <v>467</v>
      </c>
      <c r="F59" s="299">
        <v>240.29</v>
      </c>
      <c r="G59" s="300">
        <f>$E$7</f>
        <v>191</v>
      </c>
      <c r="H59" s="301">
        <f>F59/G59-1</f>
        <v>0.25806282722513085</v>
      </c>
    </row>
    <row r="60" spans="3:14" ht="15">
      <c r="E60" s="286" t="s">
        <v>438</v>
      </c>
      <c r="F60" s="292">
        <v>199.56</v>
      </c>
      <c r="G60" s="302">
        <f t="shared" ref="G60:G61" si="2">$E$7</f>
        <v>191</v>
      </c>
      <c r="H60" s="303">
        <f t="shared" ref="H60:H61" si="3">F60/G60-1</f>
        <v>4.481675392670148E-2</v>
      </c>
    </row>
    <row r="61" spans="3:14" ht="15">
      <c r="E61" s="304" t="s">
        <v>468</v>
      </c>
      <c r="F61" s="305">
        <v>56.1</v>
      </c>
      <c r="G61" s="306">
        <f t="shared" si="2"/>
        <v>191</v>
      </c>
      <c r="H61" s="307">
        <f t="shared" si="3"/>
        <v>-0.70628272251308899</v>
      </c>
    </row>
    <row r="62" spans="3:14" ht="15.75">
      <c r="D62" s="267" t="s">
        <v>469</v>
      </c>
      <c r="E62" s="297"/>
      <c r="F62" s="297" t="s">
        <v>448</v>
      </c>
      <c r="G62" s="297" t="s">
        <v>470</v>
      </c>
      <c r="H62" s="297"/>
    </row>
    <row r="63" spans="3:14" ht="15">
      <c r="E63" s="238" t="s">
        <v>471</v>
      </c>
      <c r="F63" s="308">
        <v>0.88</v>
      </c>
      <c r="G63" s="308">
        <v>1.9</v>
      </c>
    </row>
    <row r="64" spans="3:14" ht="15">
      <c r="E64" s="238" t="s">
        <v>472</v>
      </c>
      <c r="F64" s="308">
        <v>11.9</v>
      </c>
      <c r="G64" s="308">
        <v>16.7</v>
      </c>
    </row>
    <row r="65" spans="2:14" ht="15">
      <c r="E65" s="238" t="s">
        <v>473</v>
      </c>
      <c r="F65" s="308">
        <v>1.47</v>
      </c>
      <c r="G65" s="308">
        <v>3.4</v>
      </c>
    </row>
    <row r="66" spans="2:14" ht="15">
      <c r="E66" s="238" t="s">
        <v>95</v>
      </c>
      <c r="F66" s="308">
        <v>6.92</v>
      </c>
      <c r="G66" s="308">
        <v>17</v>
      </c>
    </row>
    <row r="67" spans="2:14" ht="15">
      <c r="E67" s="238" t="s">
        <v>474</v>
      </c>
      <c r="F67" s="308">
        <v>8.56</v>
      </c>
      <c r="G67" s="308">
        <v>13.6</v>
      </c>
    </row>
    <row r="68" spans="2:14" ht="15.75">
      <c r="D68" s="267" t="s">
        <v>475</v>
      </c>
      <c r="E68" s="297"/>
      <c r="F68" s="297"/>
      <c r="G68" s="297"/>
      <c r="H68" s="297"/>
    </row>
    <row r="69" spans="2:14" ht="15">
      <c r="E69" s="309" t="s">
        <v>476</v>
      </c>
      <c r="F69" s="310">
        <v>8.5000000000000006E-2</v>
      </c>
    </row>
    <row r="70" spans="2:14" ht="15">
      <c r="E70" s="238" t="s">
        <v>477</v>
      </c>
      <c r="F70" s="311">
        <v>9.3000000000000007</v>
      </c>
    </row>
    <row r="71" spans="2:14" ht="15">
      <c r="E71" s="238" t="s">
        <v>478</v>
      </c>
      <c r="F71" s="312">
        <v>3.45</v>
      </c>
    </row>
    <row r="72" spans="2:14" ht="15">
      <c r="E72" s="238" t="s">
        <v>479</v>
      </c>
      <c r="F72" s="246">
        <v>0.6</v>
      </c>
    </row>
    <row r="73" spans="2:14" ht="15">
      <c r="E73" s="238" t="s">
        <v>480</v>
      </c>
      <c r="F73" s="312">
        <v>8.33</v>
      </c>
    </row>
    <row r="75" spans="2:14" ht="15.75">
      <c r="B75" s="266" t="s">
        <v>481</v>
      </c>
      <c r="C75" s="266"/>
      <c r="D75" s="266"/>
      <c r="E75" s="266"/>
      <c r="F75" s="266"/>
      <c r="G75" s="266"/>
      <c r="H75" s="266"/>
      <c r="I75" s="266"/>
      <c r="J75" s="266"/>
      <c r="K75" s="266"/>
      <c r="L75" s="385"/>
      <c r="M75" s="385"/>
      <c r="N75" s="266"/>
    </row>
    <row r="76" spans="2:14" ht="14.45" customHeight="1">
      <c r="D76" s="567" t="s">
        <v>482</v>
      </c>
      <c r="E76" s="567"/>
      <c r="F76" s="567"/>
      <c r="G76" s="567"/>
      <c r="H76" s="567"/>
      <c r="I76" s="567"/>
      <c r="J76" s="567"/>
      <c r="K76" s="567"/>
      <c r="L76" s="567"/>
      <c r="M76" s="567"/>
      <c r="N76" s="567"/>
    </row>
    <row r="77" spans="2:14" ht="15">
      <c r="D77" s="567"/>
      <c r="E77" s="567"/>
      <c r="F77" s="567"/>
      <c r="G77" s="567"/>
      <c r="H77" s="567"/>
      <c r="I77" s="567"/>
      <c r="J77" s="567"/>
      <c r="K77" s="567"/>
      <c r="L77" s="567"/>
      <c r="M77" s="567"/>
      <c r="N77" s="567"/>
    </row>
    <row r="78" spans="2:14" ht="15">
      <c r="D78" s="567"/>
      <c r="E78" s="567"/>
      <c r="F78" s="567"/>
      <c r="G78" s="567"/>
      <c r="H78" s="567"/>
      <c r="I78" s="567"/>
      <c r="J78" s="567"/>
      <c r="K78" s="567"/>
      <c r="L78" s="567"/>
      <c r="M78" s="567"/>
      <c r="N78" s="567"/>
    </row>
    <row r="79" spans="2:14" ht="15">
      <c r="D79" s="567"/>
      <c r="E79" s="567"/>
      <c r="F79" s="567"/>
      <c r="G79" s="567"/>
      <c r="H79" s="567"/>
      <c r="I79" s="567"/>
      <c r="J79" s="567"/>
      <c r="K79" s="567"/>
      <c r="L79" s="567"/>
      <c r="M79" s="567"/>
      <c r="N79" s="567"/>
    </row>
    <row r="80" spans="2:14" ht="15">
      <c r="D80" s="567"/>
      <c r="E80" s="567"/>
      <c r="F80" s="567"/>
      <c r="G80" s="567"/>
      <c r="H80" s="567"/>
      <c r="I80" s="567"/>
      <c r="J80" s="567"/>
      <c r="K80" s="567"/>
      <c r="L80" s="567"/>
      <c r="M80" s="567"/>
      <c r="N80" s="567"/>
    </row>
    <row r="81" spans="4:14" ht="15">
      <c r="D81" s="255"/>
      <c r="E81" s="255"/>
      <c r="F81" s="255"/>
      <c r="G81" s="255"/>
      <c r="H81" s="255"/>
      <c r="I81" s="255"/>
      <c r="J81" s="255"/>
      <c r="K81" s="255"/>
      <c r="L81" s="255"/>
      <c r="M81" s="255"/>
      <c r="N81" s="255"/>
    </row>
    <row r="82" spans="4:14" ht="15">
      <c r="D82" s="255"/>
      <c r="E82" s="255"/>
      <c r="F82" s="255"/>
      <c r="G82" s="255"/>
      <c r="H82" s="255"/>
      <c r="I82" s="255"/>
      <c r="J82" s="255"/>
      <c r="K82" s="255"/>
      <c r="L82" s="255"/>
      <c r="M82" s="255"/>
      <c r="N82" s="255"/>
    </row>
  </sheetData>
  <mergeCells count="14">
    <mergeCell ref="E9:F9"/>
    <mergeCell ref="E4:F4"/>
    <mergeCell ref="E5:F5"/>
    <mergeCell ref="E6:F6"/>
    <mergeCell ref="E7:F7"/>
    <mergeCell ref="E8:F8"/>
    <mergeCell ref="L75:M75"/>
    <mergeCell ref="D76:N80"/>
    <mergeCell ref="E10:F10"/>
    <mergeCell ref="E11:F11"/>
    <mergeCell ref="E12:N20"/>
    <mergeCell ref="L22:N22"/>
    <mergeCell ref="L41:N41"/>
    <mergeCell ref="M57:N57"/>
  </mergeCells>
  <dataValidations count="1">
    <dataValidation type="list" allowBlank="1" showInputMessage="1" showErrorMessage="1" sqref="L4" xr:uid="{00000000-0002-0000-1000-000000000000}">
      <formula1>"Worst Case,Base Case,Best Case"</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7A877-BB93-4E89-AB32-D8E458E6B9A5}">
  <dimension ref="B1:Q82"/>
  <sheetViews>
    <sheetView showGridLines="0" tabSelected="1" workbookViewId="0">
      <selection activeCell="E12" sqref="E12:N20"/>
    </sheetView>
  </sheetViews>
  <sheetFormatPr defaultColWidth="14.42578125" defaultRowHeight="14.45" customHeight="1"/>
  <cols>
    <col min="1" max="3" width="1.28515625" style="289" customWidth="1"/>
    <col min="4" max="4" width="36.85546875" style="289" customWidth="1"/>
    <col min="5" max="5" width="18.85546875" style="289" bestFit="1" customWidth="1"/>
    <col min="6" max="6" width="18.140625" style="289" bestFit="1" customWidth="1"/>
    <col min="7" max="7" width="16.7109375" style="289" bestFit="1" customWidth="1"/>
    <col min="8" max="8" width="15.140625" style="289" bestFit="1" customWidth="1"/>
    <col min="9" max="9" width="12.140625" style="289" customWidth="1"/>
    <col min="10" max="14" width="12.28515625" style="289" customWidth="1"/>
    <col min="15" max="16384" width="14.42578125" style="289"/>
  </cols>
  <sheetData>
    <row r="1" spans="3:14" ht="15.75">
      <c r="C1" s="263" t="s">
        <v>103</v>
      </c>
      <c r="D1" s="263"/>
      <c r="E1" s="263"/>
      <c r="F1" s="263"/>
      <c r="G1" s="263"/>
      <c r="H1" s="263"/>
      <c r="I1" s="263"/>
      <c r="J1" s="263"/>
      <c r="K1" s="263"/>
      <c r="L1" s="263"/>
      <c r="M1" s="263"/>
      <c r="N1" s="263"/>
    </row>
    <row r="2" spans="3:14" ht="15">
      <c r="D2" s="264" t="s">
        <v>434</v>
      </c>
    </row>
    <row r="3" spans="3:14" ht="15.75">
      <c r="C3" s="265" t="s">
        <v>104</v>
      </c>
      <c r="D3" s="265"/>
      <c r="E3" s="265"/>
      <c r="F3" s="265"/>
      <c r="G3" s="265"/>
      <c r="H3" s="266" t="s">
        <v>435</v>
      </c>
      <c r="I3" s="265"/>
      <c r="J3" s="265"/>
      <c r="K3" s="265"/>
      <c r="L3" s="265"/>
      <c r="M3" s="265"/>
      <c r="N3" s="265"/>
    </row>
    <row r="4" spans="3:14" ht="15.75">
      <c r="D4" s="267" t="s">
        <v>3</v>
      </c>
      <c r="E4" s="406" t="s">
        <v>483</v>
      </c>
      <c r="F4" s="407"/>
      <c r="H4" s="268" t="s">
        <v>437</v>
      </c>
      <c r="J4" s="269">
        <v>0.24</v>
      </c>
      <c r="L4" s="270" t="s">
        <v>438</v>
      </c>
    </row>
    <row r="5" spans="3:14" ht="15.75">
      <c r="D5" s="267" t="s">
        <v>5</v>
      </c>
      <c r="E5" s="408" t="s">
        <v>484</v>
      </c>
      <c r="F5" s="409"/>
      <c r="H5" s="268" t="s">
        <v>440</v>
      </c>
      <c r="J5" s="271">
        <v>0.19500000000000001</v>
      </c>
    </row>
    <row r="6" spans="3:14" ht="15.75">
      <c r="D6" s="267" t="s">
        <v>441</v>
      </c>
      <c r="E6" s="387" t="s">
        <v>485</v>
      </c>
      <c r="F6" s="388"/>
      <c r="H6" s="268" t="s">
        <v>443</v>
      </c>
      <c r="J6" s="271">
        <v>9.8000000000000004E-2</v>
      </c>
    </row>
    <row r="7" spans="3:14" ht="15.75">
      <c r="D7" s="267" t="s">
        <v>444</v>
      </c>
      <c r="E7" s="410">
        <v>401</v>
      </c>
      <c r="F7" s="411"/>
      <c r="H7" s="268" t="s">
        <v>445</v>
      </c>
      <c r="J7" s="271">
        <v>4.7600000000000003E-2</v>
      </c>
    </row>
    <row r="8" spans="3:14" ht="15.75">
      <c r="D8" s="267" t="s">
        <v>446</v>
      </c>
      <c r="E8" s="404">
        <v>109182704</v>
      </c>
      <c r="F8" s="405"/>
      <c r="H8" s="268" t="s">
        <v>447</v>
      </c>
      <c r="J8" s="271">
        <v>6.5000000000000002E-2</v>
      </c>
    </row>
    <row r="9" spans="3:14" ht="15.75">
      <c r="D9" s="267" t="s">
        <v>109</v>
      </c>
      <c r="E9" s="404">
        <v>85368</v>
      </c>
      <c r="F9" s="405"/>
      <c r="H9" s="272"/>
    </row>
    <row r="10" spans="3:14" ht="15.75">
      <c r="D10" s="267" t="s">
        <v>11</v>
      </c>
      <c r="E10" s="387" t="s">
        <v>486</v>
      </c>
      <c r="F10" s="388"/>
      <c r="H10" s="272"/>
    </row>
    <row r="11" spans="3:14" ht="15.75">
      <c r="D11" s="267" t="s">
        <v>112</v>
      </c>
      <c r="E11" s="389" t="s">
        <v>487</v>
      </c>
      <c r="F11" s="390"/>
    </row>
    <row r="12" spans="3:14" ht="15.75">
      <c r="D12" s="267" t="s">
        <v>13</v>
      </c>
      <c r="E12" s="391" t="s">
        <v>488</v>
      </c>
      <c r="F12" s="392"/>
      <c r="G12" s="392"/>
      <c r="H12" s="392"/>
      <c r="I12" s="392"/>
      <c r="J12" s="392"/>
      <c r="K12" s="392"/>
      <c r="L12" s="392"/>
      <c r="M12" s="392"/>
      <c r="N12" s="393"/>
    </row>
    <row r="13" spans="3:14" ht="15.75">
      <c r="D13" s="267"/>
      <c r="E13" s="394"/>
      <c r="F13" s="395"/>
      <c r="G13" s="395"/>
      <c r="H13" s="395"/>
      <c r="I13" s="395"/>
      <c r="J13" s="395"/>
      <c r="K13" s="395"/>
      <c r="L13" s="395"/>
      <c r="M13" s="395"/>
      <c r="N13" s="396"/>
    </row>
    <row r="14" spans="3:14" ht="15.75">
      <c r="D14" s="267"/>
      <c r="E14" s="394"/>
      <c r="F14" s="395"/>
      <c r="G14" s="395"/>
      <c r="H14" s="395"/>
      <c r="I14" s="395"/>
      <c r="J14" s="395"/>
      <c r="K14" s="395"/>
      <c r="L14" s="395"/>
      <c r="M14" s="395"/>
      <c r="N14" s="396"/>
    </row>
    <row r="15" spans="3:14" ht="15.75">
      <c r="D15" s="267"/>
      <c r="E15" s="394"/>
      <c r="F15" s="395"/>
      <c r="G15" s="395"/>
      <c r="H15" s="395"/>
      <c r="I15" s="395"/>
      <c r="J15" s="395"/>
      <c r="K15" s="395"/>
      <c r="L15" s="395"/>
      <c r="M15" s="395"/>
      <c r="N15" s="396"/>
    </row>
    <row r="16" spans="3:14" ht="15.75">
      <c r="D16" s="267"/>
      <c r="E16" s="394"/>
      <c r="F16" s="395"/>
      <c r="G16" s="395"/>
      <c r="H16" s="395"/>
      <c r="I16" s="395"/>
      <c r="J16" s="395"/>
      <c r="K16" s="395"/>
      <c r="L16" s="395"/>
      <c r="M16" s="395"/>
      <c r="N16" s="396"/>
    </row>
    <row r="17" spans="3:17" ht="15.75">
      <c r="D17" s="267"/>
      <c r="E17" s="394"/>
      <c r="F17" s="395"/>
      <c r="G17" s="395"/>
      <c r="H17" s="395"/>
      <c r="I17" s="395"/>
      <c r="J17" s="395"/>
      <c r="K17" s="395"/>
      <c r="L17" s="395"/>
      <c r="M17" s="395"/>
      <c r="N17" s="396"/>
    </row>
    <row r="18" spans="3:17" ht="15.75">
      <c r="D18" s="267"/>
      <c r="E18" s="394"/>
      <c r="F18" s="395"/>
      <c r="G18" s="395"/>
      <c r="H18" s="395"/>
      <c r="I18" s="395"/>
      <c r="J18" s="395"/>
      <c r="K18" s="395"/>
      <c r="L18" s="395"/>
      <c r="M18" s="395"/>
      <c r="N18" s="396"/>
    </row>
    <row r="19" spans="3:17" ht="53.45" customHeight="1">
      <c r="D19" s="267"/>
      <c r="E19" s="394"/>
      <c r="F19" s="395"/>
      <c r="G19" s="395"/>
      <c r="H19" s="395"/>
      <c r="I19" s="395"/>
      <c r="J19" s="395"/>
      <c r="K19" s="395"/>
      <c r="L19" s="395"/>
      <c r="M19" s="395"/>
      <c r="N19" s="396"/>
    </row>
    <row r="20" spans="3:17" ht="4.9000000000000004" customHeight="1">
      <c r="D20" s="267"/>
      <c r="E20" s="397"/>
      <c r="F20" s="398"/>
      <c r="G20" s="398"/>
      <c r="H20" s="398"/>
      <c r="I20" s="398"/>
      <c r="J20" s="398"/>
      <c r="K20" s="398"/>
      <c r="L20" s="398"/>
      <c r="M20" s="398"/>
      <c r="N20" s="399"/>
    </row>
    <row r="21" spans="3:17" ht="15">
      <c r="E21" s="273"/>
      <c r="F21" s="273"/>
    </row>
    <row r="22" spans="3:17" ht="15">
      <c r="C22" s="265" t="s">
        <v>115</v>
      </c>
      <c r="D22" s="265"/>
      <c r="E22" s="265"/>
      <c r="F22" s="265"/>
      <c r="G22" s="265"/>
      <c r="H22" s="265"/>
      <c r="I22" s="265"/>
      <c r="J22" s="265"/>
      <c r="K22" s="265"/>
      <c r="L22" s="400"/>
      <c r="M22" s="401"/>
      <c r="N22" s="401"/>
    </row>
    <row r="23" spans="3:17" ht="15.75">
      <c r="E23" s="274" t="s">
        <v>451</v>
      </c>
      <c r="F23" s="275" t="s">
        <v>452</v>
      </c>
      <c r="G23" s="275" t="s">
        <v>453</v>
      </c>
      <c r="H23" s="275" t="s">
        <v>454</v>
      </c>
      <c r="I23" s="275" t="s">
        <v>455</v>
      </c>
      <c r="J23" s="276" t="s">
        <v>121</v>
      </c>
      <c r="K23" s="276" t="s">
        <v>122</v>
      </c>
      <c r="L23" s="276" t="s">
        <v>123</v>
      </c>
      <c r="M23" s="276" t="s">
        <v>124</v>
      </c>
      <c r="N23" s="276" t="s">
        <v>156</v>
      </c>
    </row>
    <row r="24" spans="3:17" ht="15.75">
      <c r="D24" s="268" t="s">
        <v>125</v>
      </c>
      <c r="E24" s="277">
        <v>233248</v>
      </c>
      <c r="F24" s="278">
        <v>349913</v>
      </c>
      <c r="G24" s="278">
        <v>440709</v>
      </c>
      <c r="H24" s="278">
        <v>433857</v>
      </c>
      <c r="I24" s="278">
        <v>434106</v>
      </c>
      <c r="J24" s="279">
        <f>$I$24*(1+CHOOSE(MATCH($L$4,{"Worst Case","Base Case","Best Case"},0),J5,J8,J6))</f>
        <v>462322.88999999996</v>
      </c>
      <c r="K24" s="279">
        <f>J24*(1+CHOOSE(MATCH($L$4,{"Worst Case","Base Case","Best Case"},0),J5,J8,J6))</f>
        <v>492373.87784999993</v>
      </c>
      <c r="L24" s="279">
        <f>K24*(1+CHOOSE(MATCH($L$4,{"Worst Case","Base Case","Best Case"},0),J5,J8,J6))</f>
        <v>524378.17991024989</v>
      </c>
      <c r="M24" s="279">
        <f>L24*(1+CHOOSE(MATCH($L$4,{"Worst Case","Base Case","Best Case"},0),J5,J8,J6))</f>
        <v>558462.76160441607</v>
      </c>
      <c r="N24" s="279">
        <f>M24*(1+CHOOSE(MATCH($L$4,{"Worst Case","Base Case","Best Case"},0),J5,J8,J6))</f>
        <v>594762.84110870305</v>
      </c>
    </row>
    <row r="25" spans="3:17" ht="15.75">
      <c r="D25" s="268" t="s">
        <v>126</v>
      </c>
      <c r="E25" s="277">
        <v>10663</v>
      </c>
      <c r="F25" s="278">
        <v>7294</v>
      </c>
      <c r="G25" s="278">
        <v>-6980</v>
      </c>
      <c r="H25" s="278">
        <v>16015</v>
      </c>
      <c r="I25" s="278">
        <v>6736</v>
      </c>
      <c r="J25" s="278">
        <f>$J$24*J39</f>
        <v>9537.9420277902154</v>
      </c>
      <c r="K25" s="278">
        <f>K24*J39</f>
        <v>10157.908259596579</v>
      </c>
      <c r="L25" s="278">
        <f>L24*J39</f>
        <v>10818.172296470355</v>
      </c>
      <c r="M25" s="278">
        <f>M24*J39</f>
        <v>11521.353495740927</v>
      </c>
      <c r="N25" s="278">
        <f>N24*J39</f>
        <v>12270.241472964086</v>
      </c>
    </row>
    <row r="26" spans="3:17" ht="15.75">
      <c r="D26" s="268" t="s">
        <v>127</v>
      </c>
      <c r="E26" s="280">
        <v>18786</v>
      </c>
      <c r="F26" s="281">
        <v>14141</v>
      </c>
      <c r="G26" s="281">
        <v>-3250</v>
      </c>
      <c r="H26" s="281">
        <v>28653</v>
      </c>
      <c r="I26" s="281">
        <v>18520</v>
      </c>
      <c r="J26" s="281">
        <f>J24*J38</f>
        <v>20553.41424785999</v>
      </c>
      <c r="K26" s="281">
        <f>K24*J38</f>
        <v>21889.386173970888</v>
      </c>
      <c r="L26" s="281">
        <f>L24*J38</f>
        <v>23312.196275278995</v>
      </c>
      <c r="M26" s="281">
        <f>M24*J38</f>
        <v>24827.489033172129</v>
      </c>
      <c r="N26" s="281">
        <f>N24*J38</f>
        <v>26441.275820328312</v>
      </c>
    </row>
    <row r="27" spans="3:17" ht="15.75">
      <c r="D27" s="268" t="s">
        <v>128</v>
      </c>
      <c r="E27" s="117">
        <v>48.83</v>
      </c>
      <c r="F27" s="115">
        <v>34.28</v>
      </c>
      <c r="G27" s="115">
        <v>-32.799999999999997</v>
      </c>
      <c r="H27" s="115">
        <v>75.260000000000005</v>
      </c>
      <c r="I27" s="115">
        <v>31.66</v>
      </c>
      <c r="J27" s="115"/>
      <c r="K27" s="115"/>
      <c r="L27" s="115"/>
      <c r="M27" s="115"/>
      <c r="N27" s="115"/>
    </row>
    <row r="28" spans="3:17" ht="15.75">
      <c r="D28" s="268" t="s">
        <v>129</v>
      </c>
      <c r="E28" s="117">
        <v>6.5</v>
      </c>
      <c r="F28" s="115">
        <v>15.17</v>
      </c>
      <c r="G28" s="115">
        <v>9.33</v>
      </c>
      <c r="H28" s="115">
        <v>0</v>
      </c>
      <c r="I28" s="115">
        <v>22</v>
      </c>
      <c r="J28" s="115"/>
      <c r="K28" s="115"/>
      <c r="L28" s="115"/>
      <c r="M28" s="115"/>
      <c r="N28" s="115"/>
    </row>
    <row r="29" spans="3:17" ht="15.75">
      <c r="D29" s="268" t="s">
        <v>456</v>
      </c>
      <c r="E29" s="213">
        <v>0.53500000000000003</v>
      </c>
      <c r="F29" s="213">
        <v>0.54900000000000004</v>
      </c>
      <c r="G29" s="213">
        <v>0.54900000000000004</v>
      </c>
      <c r="H29" s="213">
        <v>0.54900000000000004</v>
      </c>
      <c r="I29" s="213">
        <v>0.54900000000000004</v>
      </c>
      <c r="J29" s="115"/>
      <c r="K29" s="115"/>
      <c r="L29" s="115"/>
      <c r="M29" s="115"/>
      <c r="N29" s="115"/>
    </row>
    <row r="31" spans="3:17" ht="15.75">
      <c r="C31" s="265" t="s">
        <v>131</v>
      </c>
      <c r="D31" s="265"/>
      <c r="E31" s="282" t="s">
        <v>116</v>
      </c>
      <c r="F31" s="282" t="s">
        <v>117</v>
      </c>
      <c r="G31" s="282" t="s">
        <v>118</v>
      </c>
      <c r="H31" s="282" t="s">
        <v>119</v>
      </c>
      <c r="I31" s="282" t="s">
        <v>120</v>
      </c>
      <c r="J31" s="265"/>
      <c r="K31" s="265"/>
      <c r="L31" s="265"/>
      <c r="M31" s="265"/>
      <c r="N31" s="265"/>
      <c r="O31" s="283"/>
      <c r="P31" s="283"/>
      <c r="Q31" s="283"/>
    </row>
    <row r="32" spans="3:17" ht="15.75">
      <c r="D32" s="267" t="s">
        <v>132</v>
      </c>
      <c r="E32" s="284">
        <v>0.28001575630252101</v>
      </c>
      <c r="F32" s="284">
        <v>0.1761665539561395</v>
      </c>
      <c r="G32" s="284">
        <v>-0.21634689892446457</v>
      </c>
      <c r="H32" s="284">
        <v>0.34131838622365251</v>
      </c>
      <c r="I32" s="284">
        <v>0.13170655404348505</v>
      </c>
    </row>
    <row r="33" spans="3:14" ht="15.75">
      <c r="D33" s="267" t="s">
        <v>92</v>
      </c>
      <c r="E33" s="285">
        <v>8.2121646528773304</v>
      </c>
      <c r="F33" s="285">
        <v>11.697782963827304</v>
      </c>
      <c r="G33" s="285">
        <v>-12.225609756097562</v>
      </c>
      <c r="H33" s="285">
        <v>5.3281955886260954</v>
      </c>
      <c r="I33" s="285">
        <v>12.665824384080858</v>
      </c>
    </row>
    <row r="34" spans="3:14" ht="15.75">
      <c r="D34" s="267" t="s">
        <v>93</v>
      </c>
      <c r="E34" s="286">
        <v>1.8</v>
      </c>
      <c r="F34" s="286">
        <v>1.56</v>
      </c>
      <c r="G34" s="286">
        <v>1.32</v>
      </c>
      <c r="H34" s="286">
        <v>1.48</v>
      </c>
      <c r="I34" s="286">
        <v>1.67</v>
      </c>
    </row>
    <row r="35" spans="3:14" ht="15.75">
      <c r="D35" s="267" t="s">
        <v>95</v>
      </c>
      <c r="E35" s="285">
        <v>6.83748536143937</v>
      </c>
      <c r="F35" s="285">
        <v>9.4445230181741042</v>
      </c>
      <c r="G35" s="285">
        <v>-47.788923076923076</v>
      </c>
      <c r="H35" s="285">
        <v>5.2883118696122571</v>
      </c>
      <c r="I35" s="285">
        <v>8.4027537796976244</v>
      </c>
    </row>
    <row r="36" spans="3:14" ht="15.75">
      <c r="D36" s="267" t="s">
        <v>133</v>
      </c>
      <c r="E36" s="313"/>
      <c r="F36" s="313"/>
      <c r="G36" s="313"/>
      <c r="H36" s="284">
        <v>6.4699999999999994E-2</v>
      </c>
      <c r="I36" s="284">
        <v>5.2400000000000002E-2</v>
      </c>
    </row>
    <row r="37" spans="3:14" ht="15.75">
      <c r="D37" s="267" t="s">
        <v>134</v>
      </c>
      <c r="E37" s="285">
        <v>1.1478203781512606</v>
      </c>
      <c r="F37" s="285">
        <v>1.1713361027920008</v>
      </c>
      <c r="G37" s="285">
        <v>2.1904658587236154</v>
      </c>
      <c r="H37" s="285">
        <v>1.4211973316851729</v>
      </c>
      <c r="I37" s="285">
        <v>1.3795948693883935</v>
      </c>
    </row>
    <row r="38" spans="3:14" ht="15.75">
      <c r="D38" s="268" t="s">
        <v>201</v>
      </c>
      <c r="E38" s="287">
        <f>E26/E24</f>
        <v>8.0540883523117029E-2</v>
      </c>
      <c r="F38" s="287">
        <f t="shared" ref="F38:I38" si="0">F26/F24</f>
        <v>4.041290263579804E-2</v>
      </c>
      <c r="G38" s="287">
        <f t="shared" si="0"/>
        <v>-7.374480666380764E-3</v>
      </c>
      <c r="H38" s="287">
        <f t="shared" si="0"/>
        <v>6.6042497873723363E-2</v>
      </c>
      <c r="I38" s="287">
        <f t="shared" si="0"/>
        <v>4.2662391213205988E-2</v>
      </c>
      <c r="J38" s="288">
        <f>AVERAGE(E38:I38)</f>
        <v>4.4456838915892728E-2</v>
      </c>
    </row>
    <row r="39" spans="3:14" ht="15.75">
      <c r="D39" s="268" t="s">
        <v>138</v>
      </c>
      <c r="E39" s="287">
        <f t="shared" ref="E39:H39" si="1">E25/E24</f>
        <v>4.5715290163259703E-2</v>
      </c>
      <c r="F39" s="287">
        <f t="shared" si="1"/>
        <v>2.0845181516548399E-2</v>
      </c>
      <c r="G39" s="287">
        <f t="shared" si="1"/>
        <v>-1.583811540041161E-2</v>
      </c>
      <c r="H39" s="287">
        <f t="shared" si="1"/>
        <v>3.6913084265091954E-2</v>
      </c>
      <c r="I39" s="287">
        <f>I25/I24</f>
        <v>1.5516947473658508E-2</v>
      </c>
      <c r="J39" s="288">
        <f>AVERAGE(E39:I39)</f>
        <v>2.0630477603629394E-2</v>
      </c>
    </row>
    <row r="41" spans="3:14" ht="15.75">
      <c r="C41" s="265" t="s">
        <v>457</v>
      </c>
      <c r="D41" s="265"/>
      <c r="E41" s="282" t="s">
        <v>116</v>
      </c>
      <c r="F41" s="282" t="s">
        <v>117</v>
      </c>
      <c r="G41" s="282" t="s">
        <v>118</v>
      </c>
      <c r="H41" s="282" t="s">
        <v>119</v>
      </c>
      <c r="I41" s="282" t="s">
        <v>120</v>
      </c>
      <c r="J41" s="265"/>
      <c r="K41" s="265"/>
      <c r="L41" s="402"/>
      <c r="M41" s="403"/>
      <c r="N41" s="403"/>
    </row>
    <row r="42" spans="3:14" ht="15.75">
      <c r="D42" s="267" t="s">
        <v>236</v>
      </c>
      <c r="E42" s="314">
        <v>0.19</v>
      </c>
      <c r="F42" s="315">
        <v>0.12</v>
      </c>
      <c r="G42" s="315">
        <v>-0.08</v>
      </c>
      <c r="H42" s="315">
        <v>0.21</v>
      </c>
      <c r="I42" s="315">
        <v>0.11</v>
      </c>
    </row>
    <row r="43" spans="3:14" ht="15.75">
      <c r="D43" s="267" t="s">
        <v>237</v>
      </c>
      <c r="E43" s="292"/>
      <c r="F43" s="292"/>
      <c r="G43" s="292"/>
      <c r="H43" s="316" t="s">
        <v>489</v>
      </c>
      <c r="I43" s="292"/>
    </row>
    <row r="44" spans="3:14" ht="15.75">
      <c r="D44" s="267" t="s">
        <v>79</v>
      </c>
      <c r="E44" s="291">
        <v>15.743509865005192</v>
      </c>
      <c r="F44" s="291">
        <v>10.171514543630893</v>
      </c>
      <c r="G44" s="291">
        <v>-3.5924563017479301</v>
      </c>
      <c r="H44" s="291">
        <v>9.0207355242566507</v>
      </c>
      <c r="I44" s="291">
        <v>3.6748885586924218</v>
      </c>
    </row>
    <row r="45" spans="3:14" ht="15.75">
      <c r="D45" s="267" t="s">
        <v>458</v>
      </c>
      <c r="E45" s="292">
        <v>26.1</v>
      </c>
      <c r="F45" s="292">
        <v>26.3</v>
      </c>
      <c r="G45" s="292">
        <v>26.1</v>
      </c>
      <c r="H45" s="292">
        <v>22.3</v>
      </c>
      <c r="I45" s="292"/>
    </row>
    <row r="46" spans="3:14" ht="15.75">
      <c r="D46" s="267" t="s">
        <v>459</v>
      </c>
      <c r="E46" s="317">
        <v>3785</v>
      </c>
      <c r="F46" s="317">
        <v>4485</v>
      </c>
      <c r="G46" s="317">
        <v>5132</v>
      </c>
      <c r="H46" s="317">
        <v>5132</v>
      </c>
      <c r="I46" s="317"/>
    </row>
    <row r="47" spans="3:14" ht="15.75">
      <c r="D47" s="267" t="s">
        <v>460</v>
      </c>
      <c r="E47" s="293">
        <v>8200</v>
      </c>
      <c r="F47" s="293">
        <v>8400</v>
      </c>
      <c r="G47" s="293">
        <v>8600</v>
      </c>
      <c r="H47" s="293">
        <v>8600</v>
      </c>
      <c r="I47" s="317"/>
    </row>
    <row r="48" spans="3:14" ht="15.75">
      <c r="D48" s="267" t="s">
        <v>461</v>
      </c>
      <c r="E48" s="317"/>
      <c r="F48" s="317"/>
      <c r="G48" s="317"/>
      <c r="H48" s="317">
        <v>379</v>
      </c>
      <c r="I48" s="317"/>
    </row>
    <row r="49" spans="3:14" ht="15.75">
      <c r="D49" s="267" t="s">
        <v>490</v>
      </c>
      <c r="E49" s="293">
        <v>16.420000000000002</v>
      </c>
      <c r="F49" s="293">
        <v>17.5</v>
      </c>
      <c r="G49" s="293">
        <v>19.09</v>
      </c>
      <c r="H49" s="293">
        <v>22.33</v>
      </c>
      <c r="I49" s="317"/>
    </row>
    <row r="51" spans="3:14" ht="15">
      <c r="C51" s="265" t="s">
        <v>141</v>
      </c>
      <c r="D51" s="265"/>
      <c r="E51" s="265"/>
      <c r="F51" s="265"/>
      <c r="G51" s="265"/>
      <c r="H51" s="265"/>
      <c r="I51" s="265"/>
      <c r="J51" s="265"/>
      <c r="K51" s="265"/>
      <c r="L51" s="265"/>
      <c r="M51" s="265"/>
      <c r="N51" s="265"/>
    </row>
    <row r="52" spans="3:14" ht="15.75">
      <c r="D52" s="267" t="s">
        <v>239</v>
      </c>
      <c r="E52" s="286">
        <v>4.5</v>
      </c>
    </row>
    <row r="53" spans="3:14" ht="15.75">
      <c r="D53" s="267" t="s">
        <v>143</v>
      </c>
      <c r="E53" s="286">
        <v>4.5</v>
      </c>
    </row>
    <row r="54" spans="3:14" ht="15.75">
      <c r="D54" s="267" t="s">
        <v>222</v>
      </c>
      <c r="E54" s="286">
        <v>4</v>
      </c>
    </row>
    <row r="55" spans="3:14" ht="15.75">
      <c r="D55" s="267" t="s">
        <v>223</v>
      </c>
      <c r="E55" s="286">
        <v>3.5</v>
      </c>
    </row>
    <row r="56" spans="3:14" ht="15">
      <c r="E56" s="286">
        <f>AVERAGE(E52:E55)</f>
        <v>4.125</v>
      </c>
    </row>
    <row r="57" spans="3:14" ht="15.75">
      <c r="C57" s="266" t="s">
        <v>462</v>
      </c>
      <c r="D57" s="266"/>
      <c r="E57" s="266"/>
      <c r="F57" s="266"/>
      <c r="G57" s="266"/>
      <c r="H57" s="266"/>
      <c r="I57" s="266"/>
      <c r="J57" s="266"/>
      <c r="K57" s="266"/>
      <c r="L57" s="266"/>
      <c r="M57" s="385" t="s">
        <v>463</v>
      </c>
      <c r="N57" s="385"/>
    </row>
    <row r="58" spans="3:14" ht="15.75">
      <c r="E58" s="296"/>
      <c r="F58" s="297" t="s">
        <v>464</v>
      </c>
      <c r="G58" s="297" t="s">
        <v>9</v>
      </c>
      <c r="H58" s="297" t="s">
        <v>465</v>
      </c>
    </row>
    <row r="59" spans="3:14" ht="15.75">
      <c r="D59" s="267" t="s">
        <v>466</v>
      </c>
      <c r="E59" s="298" t="s">
        <v>467</v>
      </c>
      <c r="F59" s="299">
        <v>457.15</v>
      </c>
      <c r="G59" s="300">
        <f>$E$7</f>
        <v>401</v>
      </c>
      <c r="H59" s="301">
        <f>F59/G59-1</f>
        <v>0.14002493765586022</v>
      </c>
    </row>
    <row r="60" spans="3:14" ht="15">
      <c r="E60" s="286" t="s">
        <v>438</v>
      </c>
      <c r="F60" s="292">
        <v>406.03</v>
      </c>
      <c r="G60" s="302">
        <f t="shared" ref="G60:G61" si="2">$E$7</f>
        <v>401</v>
      </c>
      <c r="H60" s="303">
        <f t="shared" ref="H60:H61" si="3">F60/G60-1</f>
        <v>1.2543640897755504E-2</v>
      </c>
    </row>
    <row r="61" spans="3:14" ht="15">
      <c r="E61" s="304" t="s">
        <v>468</v>
      </c>
      <c r="F61" s="318">
        <v>287.55</v>
      </c>
      <c r="G61" s="306">
        <f t="shared" si="2"/>
        <v>401</v>
      </c>
      <c r="H61" s="307">
        <f t="shared" si="3"/>
        <v>-0.28291770573566077</v>
      </c>
    </row>
    <row r="62" spans="3:14" ht="15.75">
      <c r="D62" s="267" t="s">
        <v>469</v>
      </c>
      <c r="E62" s="297"/>
      <c r="F62" s="297" t="s">
        <v>491</v>
      </c>
      <c r="G62" s="297" t="s">
        <v>470</v>
      </c>
      <c r="H62" s="297"/>
    </row>
    <row r="63" spans="3:14" ht="15">
      <c r="E63" s="238" t="s">
        <v>471</v>
      </c>
      <c r="F63" s="308">
        <v>0.2</v>
      </c>
      <c r="G63" s="308">
        <v>0.5</v>
      </c>
    </row>
    <row r="64" spans="3:14" ht="15">
      <c r="E64" s="238" t="s">
        <v>472</v>
      </c>
      <c r="F64" s="308">
        <v>9.9</v>
      </c>
      <c r="G64" s="308">
        <v>10.4</v>
      </c>
    </row>
    <row r="65" spans="2:14" ht="15">
      <c r="E65" s="238" t="s">
        <v>473</v>
      </c>
      <c r="F65" s="308">
        <v>1.67</v>
      </c>
      <c r="G65" s="308">
        <v>2.4</v>
      </c>
    </row>
    <row r="66" spans="2:14" ht="15">
      <c r="E66" s="238" t="s">
        <v>95</v>
      </c>
      <c r="F66" s="308">
        <v>7.1</v>
      </c>
      <c r="G66" s="308">
        <v>9.4</v>
      </c>
    </row>
    <row r="67" spans="2:14" ht="15">
      <c r="E67" s="238" t="s">
        <v>474</v>
      </c>
      <c r="F67" s="308">
        <v>9.3000000000000007</v>
      </c>
      <c r="G67" s="308">
        <v>10.8</v>
      </c>
    </row>
    <row r="68" spans="2:14" ht="15.75">
      <c r="D68" s="267" t="s">
        <v>475</v>
      </c>
      <c r="E68" s="297"/>
      <c r="F68" s="297"/>
      <c r="G68" s="297"/>
      <c r="H68" s="297"/>
    </row>
    <row r="69" spans="2:14" ht="15">
      <c r="E69" s="238" t="s">
        <v>476</v>
      </c>
      <c r="F69" s="319">
        <v>0.08</v>
      </c>
    </row>
    <row r="70" spans="2:14" ht="15">
      <c r="E70" s="238" t="s">
        <v>492</v>
      </c>
      <c r="F70" s="319">
        <v>0.121</v>
      </c>
    </row>
    <row r="71" spans="2:14" ht="15">
      <c r="E71" s="238" t="s">
        <v>478</v>
      </c>
      <c r="F71" s="319">
        <v>3.6600000000000001E-2</v>
      </c>
    </row>
    <row r="72" spans="2:14" ht="15">
      <c r="E72" s="238" t="s">
        <v>479</v>
      </c>
      <c r="F72" s="320">
        <v>1</v>
      </c>
    </row>
    <row r="73" spans="2:14" ht="15">
      <c r="E73" s="238" t="s">
        <v>480</v>
      </c>
      <c r="F73" s="319">
        <v>8.3299999999999999E-2</v>
      </c>
    </row>
    <row r="75" spans="2:14" ht="15.75">
      <c r="B75" s="266" t="s">
        <v>481</v>
      </c>
      <c r="C75" s="266"/>
      <c r="D75" s="266"/>
      <c r="E75" s="266"/>
      <c r="F75" s="266"/>
      <c r="G75" s="266"/>
      <c r="H75" s="266"/>
      <c r="I75" s="266"/>
      <c r="J75" s="266"/>
      <c r="K75" s="266"/>
      <c r="L75" s="385"/>
      <c r="M75" s="385"/>
      <c r="N75" s="266"/>
    </row>
    <row r="76" spans="2:14" ht="15">
      <c r="D76" s="386" t="s">
        <v>493</v>
      </c>
      <c r="E76" s="386"/>
      <c r="F76" s="386"/>
      <c r="G76" s="386"/>
      <c r="H76" s="386"/>
      <c r="I76" s="386"/>
      <c r="J76" s="386"/>
      <c r="K76" s="386"/>
      <c r="L76" s="386"/>
      <c r="M76" s="386"/>
      <c r="N76" s="386"/>
    </row>
    <row r="77" spans="2:14" ht="15">
      <c r="D77" s="386"/>
      <c r="E77" s="386"/>
      <c r="F77" s="386"/>
      <c r="G77" s="386"/>
      <c r="H77" s="386"/>
      <c r="I77" s="386"/>
      <c r="J77" s="386"/>
      <c r="K77" s="386"/>
      <c r="L77" s="386"/>
      <c r="M77" s="386"/>
      <c r="N77" s="386"/>
    </row>
    <row r="78" spans="2:14" ht="15">
      <c r="D78" s="386"/>
      <c r="E78" s="386"/>
      <c r="F78" s="386"/>
      <c r="G78" s="386"/>
      <c r="H78" s="386"/>
      <c r="I78" s="386"/>
      <c r="J78" s="386"/>
      <c r="K78" s="386"/>
      <c r="L78" s="386"/>
      <c r="M78" s="386"/>
      <c r="N78" s="386"/>
    </row>
    <row r="79" spans="2:14" ht="15">
      <c r="D79" s="386"/>
      <c r="E79" s="386"/>
      <c r="F79" s="386"/>
      <c r="G79" s="386"/>
      <c r="H79" s="386"/>
      <c r="I79" s="386"/>
      <c r="J79" s="386"/>
      <c r="K79" s="386"/>
      <c r="L79" s="386"/>
      <c r="M79" s="386"/>
      <c r="N79" s="386"/>
    </row>
    <row r="80" spans="2:14" ht="15">
      <c r="D80" s="386"/>
      <c r="E80" s="386"/>
      <c r="F80" s="386"/>
      <c r="G80" s="386"/>
      <c r="H80" s="386"/>
      <c r="I80" s="386"/>
      <c r="J80" s="386"/>
      <c r="K80" s="386"/>
      <c r="L80" s="386"/>
      <c r="M80" s="386"/>
      <c r="N80" s="386"/>
    </row>
    <row r="81" spans="4:14" ht="2.4500000000000002" customHeight="1">
      <c r="D81" s="386"/>
      <c r="E81" s="386"/>
      <c r="F81" s="386"/>
      <c r="G81" s="386"/>
      <c r="H81" s="386"/>
      <c r="I81" s="386"/>
      <c r="J81" s="386"/>
      <c r="K81" s="386"/>
      <c r="L81" s="386"/>
      <c r="M81" s="386"/>
      <c r="N81" s="386"/>
    </row>
    <row r="82" spans="4:14" ht="15" hidden="1">
      <c r="D82" s="386"/>
      <c r="E82" s="386"/>
      <c r="F82" s="386"/>
      <c r="G82" s="386"/>
      <c r="H82" s="386"/>
      <c r="I82" s="386"/>
      <c r="J82" s="386"/>
      <c r="K82" s="386"/>
      <c r="L82" s="386"/>
      <c r="M82" s="386"/>
      <c r="N82" s="386"/>
    </row>
  </sheetData>
  <mergeCells count="14">
    <mergeCell ref="E9:F9"/>
    <mergeCell ref="E4:F4"/>
    <mergeCell ref="E5:F5"/>
    <mergeCell ref="E6:F6"/>
    <mergeCell ref="E7:F7"/>
    <mergeCell ref="E8:F8"/>
    <mergeCell ref="L75:M75"/>
    <mergeCell ref="D76:N82"/>
    <mergeCell ref="E10:F10"/>
    <mergeCell ref="E11:F11"/>
    <mergeCell ref="E12:N20"/>
    <mergeCell ref="L22:N22"/>
    <mergeCell ref="L41:N41"/>
    <mergeCell ref="M57:N57"/>
  </mergeCells>
  <dataValidations count="1">
    <dataValidation type="list" allowBlank="1" showInputMessage="1" showErrorMessage="1" sqref="L4" xr:uid="{00000000-0002-0000-1100-000000000000}">
      <formula1>"Worst Case,Base Case,Best Case"</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79F2-AF4B-4735-BF8E-FEE9066BB9A5}">
  <dimension ref="B1:Q82"/>
  <sheetViews>
    <sheetView showGridLines="0" workbookViewId="0">
      <selection activeCell="E12" sqref="E12:N20"/>
    </sheetView>
  </sheetViews>
  <sheetFormatPr defaultColWidth="14.42578125" defaultRowHeight="14.45" customHeight="1"/>
  <cols>
    <col min="1" max="3" width="1.28515625" style="289" customWidth="1"/>
    <col min="4" max="4" width="36.85546875" style="289" customWidth="1"/>
    <col min="5" max="5" width="18.7109375" style="289" bestFit="1" customWidth="1"/>
    <col min="6" max="6" width="17.85546875" style="289" bestFit="1" customWidth="1"/>
    <col min="7" max="8" width="14.42578125" style="289"/>
    <col min="9" max="9" width="12.140625" style="289" customWidth="1"/>
    <col min="10" max="14" width="12.28515625" style="289" customWidth="1"/>
    <col min="15" max="16384" width="14.42578125" style="289"/>
  </cols>
  <sheetData>
    <row r="1" spans="3:14" ht="15.75">
      <c r="C1" s="263" t="s">
        <v>103</v>
      </c>
      <c r="D1" s="263"/>
      <c r="E1" s="263"/>
      <c r="F1" s="263"/>
      <c r="G1" s="263"/>
      <c r="H1" s="263"/>
      <c r="I1" s="263"/>
      <c r="J1" s="263"/>
      <c r="K1" s="263"/>
      <c r="L1" s="263"/>
      <c r="M1" s="263"/>
      <c r="N1" s="263"/>
    </row>
    <row r="2" spans="3:14" ht="15">
      <c r="D2" s="264" t="s">
        <v>434</v>
      </c>
    </row>
    <row r="3" spans="3:14" ht="15.75">
      <c r="C3" s="265" t="s">
        <v>104</v>
      </c>
      <c r="D3" s="265"/>
      <c r="E3" s="265"/>
      <c r="F3" s="265"/>
      <c r="G3" s="265"/>
      <c r="H3" s="266" t="s">
        <v>435</v>
      </c>
      <c r="I3" s="265"/>
      <c r="J3" s="265"/>
      <c r="K3" s="265"/>
      <c r="L3" s="265"/>
      <c r="M3" s="265"/>
      <c r="N3" s="265"/>
    </row>
    <row r="4" spans="3:14" ht="15.75">
      <c r="D4" s="267" t="s">
        <v>3</v>
      </c>
      <c r="E4" s="406" t="s">
        <v>494</v>
      </c>
      <c r="F4" s="407"/>
      <c r="H4" s="268" t="s">
        <v>437</v>
      </c>
      <c r="J4" s="269">
        <v>0.11</v>
      </c>
      <c r="L4" s="270" t="s">
        <v>438</v>
      </c>
    </row>
    <row r="5" spans="3:14" ht="15.75">
      <c r="D5" s="267" t="s">
        <v>5</v>
      </c>
      <c r="E5" s="408" t="s">
        <v>484</v>
      </c>
      <c r="F5" s="409"/>
      <c r="H5" s="268" t="s">
        <v>440</v>
      </c>
      <c r="J5" s="271">
        <v>0.19500000000000001</v>
      </c>
    </row>
    <row r="6" spans="3:14" ht="15.75">
      <c r="D6" s="267" t="s">
        <v>441</v>
      </c>
      <c r="E6" s="387" t="s">
        <v>485</v>
      </c>
      <c r="F6" s="388"/>
      <c r="H6" s="268" t="s">
        <v>443</v>
      </c>
      <c r="J6" s="271">
        <v>0.11020000000000001</v>
      </c>
    </row>
    <row r="7" spans="3:14" ht="15.75">
      <c r="D7" s="267" t="s">
        <v>444</v>
      </c>
      <c r="E7" s="410">
        <v>310</v>
      </c>
      <c r="F7" s="411"/>
      <c r="H7" s="268" t="s">
        <v>445</v>
      </c>
      <c r="J7" s="271">
        <v>4.7600000000000003E-2</v>
      </c>
    </row>
    <row r="8" spans="3:14" ht="15.75">
      <c r="D8" s="267" t="s">
        <v>446</v>
      </c>
      <c r="E8" s="404">
        <v>3972001200</v>
      </c>
      <c r="F8" s="405"/>
      <c r="H8" s="268" t="s">
        <v>447</v>
      </c>
      <c r="J8" s="271">
        <v>6.5000000000000002E-2</v>
      </c>
    </row>
    <row r="9" spans="3:14" ht="15.75">
      <c r="D9" s="267" t="s">
        <v>109</v>
      </c>
      <c r="E9" s="404">
        <v>134580</v>
      </c>
      <c r="F9" s="405"/>
      <c r="H9" s="272"/>
    </row>
    <row r="10" spans="3:14" ht="15.75">
      <c r="D10" s="267" t="s">
        <v>11</v>
      </c>
      <c r="E10" s="387" t="s">
        <v>495</v>
      </c>
      <c r="F10" s="388"/>
      <c r="H10" s="272"/>
    </row>
    <row r="11" spans="3:14" ht="15.75">
      <c r="D11" s="267" t="s">
        <v>112</v>
      </c>
      <c r="E11" s="389" t="s">
        <v>496</v>
      </c>
      <c r="F11" s="390"/>
    </row>
    <row r="12" spans="3:14" ht="15.75">
      <c r="D12" s="267" t="s">
        <v>13</v>
      </c>
      <c r="E12" s="391" t="s">
        <v>497</v>
      </c>
      <c r="F12" s="392"/>
      <c r="G12" s="392"/>
      <c r="H12" s="392"/>
      <c r="I12" s="392"/>
      <c r="J12" s="392"/>
      <c r="K12" s="392"/>
      <c r="L12" s="392"/>
      <c r="M12" s="392"/>
      <c r="N12" s="393"/>
    </row>
    <row r="13" spans="3:14" ht="15.75">
      <c r="D13" s="267"/>
      <c r="E13" s="394"/>
      <c r="F13" s="395"/>
      <c r="G13" s="395"/>
      <c r="H13" s="395"/>
      <c r="I13" s="395"/>
      <c r="J13" s="395"/>
      <c r="K13" s="395"/>
      <c r="L13" s="395"/>
      <c r="M13" s="395"/>
      <c r="N13" s="396"/>
    </row>
    <row r="14" spans="3:14" ht="15.75">
      <c r="D14" s="267"/>
      <c r="E14" s="394"/>
      <c r="F14" s="395"/>
      <c r="G14" s="395"/>
      <c r="H14" s="395"/>
      <c r="I14" s="395"/>
      <c r="J14" s="395"/>
      <c r="K14" s="395"/>
      <c r="L14" s="395"/>
      <c r="M14" s="395"/>
      <c r="N14" s="396"/>
    </row>
    <row r="15" spans="3:14" ht="15.75">
      <c r="D15" s="267"/>
      <c r="E15" s="394"/>
      <c r="F15" s="395"/>
      <c r="G15" s="395"/>
      <c r="H15" s="395"/>
      <c r="I15" s="395"/>
      <c r="J15" s="395"/>
      <c r="K15" s="395"/>
      <c r="L15" s="395"/>
      <c r="M15" s="395"/>
      <c r="N15" s="396"/>
    </row>
    <row r="16" spans="3:14" ht="15.75">
      <c r="D16" s="267"/>
      <c r="E16" s="394"/>
      <c r="F16" s="395"/>
      <c r="G16" s="395"/>
      <c r="H16" s="395"/>
      <c r="I16" s="395"/>
      <c r="J16" s="395"/>
      <c r="K16" s="395"/>
      <c r="L16" s="395"/>
      <c r="M16" s="395"/>
      <c r="N16" s="396"/>
    </row>
    <row r="17" spans="3:17" ht="15.75">
      <c r="D17" s="267"/>
      <c r="E17" s="394"/>
      <c r="F17" s="395"/>
      <c r="G17" s="395"/>
      <c r="H17" s="395"/>
      <c r="I17" s="395"/>
      <c r="J17" s="395"/>
      <c r="K17" s="395"/>
      <c r="L17" s="395"/>
      <c r="M17" s="395"/>
      <c r="N17" s="396"/>
    </row>
    <row r="18" spans="3:17" ht="15.75">
      <c r="D18" s="267"/>
      <c r="E18" s="394"/>
      <c r="F18" s="395"/>
      <c r="G18" s="395"/>
      <c r="H18" s="395"/>
      <c r="I18" s="395"/>
      <c r="J18" s="395"/>
      <c r="K18" s="395"/>
      <c r="L18" s="395"/>
      <c r="M18" s="395"/>
      <c r="N18" s="396"/>
    </row>
    <row r="19" spans="3:17" ht="15.75">
      <c r="D19" s="267"/>
      <c r="E19" s="394"/>
      <c r="F19" s="395"/>
      <c r="G19" s="395"/>
      <c r="H19" s="395"/>
      <c r="I19" s="395"/>
      <c r="J19" s="395"/>
      <c r="K19" s="395"/>
      <c r="L19" s="395"/>
      <c r="M19" s="395"/>
      <c r="N19" s="396"/>
    </row>
    <row r="20" spans="3:17" ht="4.9000000000000004" customHeight="1">
      <c r="D20" s="267"/>
      <c r="E20" s="397"/>
      <c r="F20" s="398"/>
      <c r="G20" s="398"/>
      <c r="H20" s="398"/>
      <c r="I20" s="398"/>
      <c r="J20" s="398"/>
      <c r="K20" s="398"/>
      <c r="L20" s="398"/>
      <c r="M20" s="398"/>
      <c r="N20" s="399"/>
    </row>
    <row r="21" spans="3:17" ht="15">
      <c r="E21" s="273"/>
      <c r="F21" s="273"/>
    </row>
    <row r="22" spans="3:17" ht="15">
      <c r="C22" s="265" t="s">
        <v>115</v>
      </c>
      <c r="D22" s="265"/>
      <c r="E22" s="265"/>
      <c r="F22" s="265"/>
      <c r="G22" s="265"/>
      <c r="H22" s="265"/>
      <c r="I22" s="265"/>
      <c r="J22" s="265"/>
      <c r="K22" s="265"/>
      <c r="L22" s="400"/>
      <c r="M22" s="401"/>
      <c r="N22" s="401"/>
    </row>
    <row r="23" spans="3:17" ht="15.75">
      <c r="E23" s="274" t="s">
        <v>451</v>
      </c>
      <c r="F23" s="275" t="s">
        <v>452</v>
      </c>
      <c r="G23" s="275" t="s">
        <v>453</v>
      </c>
      <c r="H23" s="275" t="s">
        <v>454</v>
      </c>
      <c r="I23" s="275" t="s">
        <v>455</v>
      </c>
      <c r="J23" s="276" t="s">
        <v>121</v>
      </c>
      <c r="K23" s="276" t="s">
        <v>122</v>
      </c>
      <c r="L23" s="276" t="s">
        <v>123</v>
      </c>
      <c r="M23" s="276" t="s">
        <v>124</v>
      </c>
      <c r="N23" s="276" t="s">
        <v>156</v>
      </c>
    </row>
    <row r="24" spans="3:17" ht="15.75">
      <c r="D24" s="268" t="s">
        <v>125</v>
      </c>
      <c r="E24" s="277">
        <v>230171</v>
      </c>
      <c r="F24" s="278">
        <v>346791</v>
      </c>
      <c r="G24" s="278">
        <v>473187</v>
      </c>
      <c r="H24" s="278">
        <v>448083</v>
      </c>
      <c r="I24" s="278">
        <v>440272</v>
      </c>
      <c r="J24" s="279">
        <f>$I$24*(1+CHOOSE(MATCH($L$4,{"Worst Case","Base Case","Best Case"},0),J5,J8,J6))</f>
        <v>468889.68</v>
      </c>
      <c r="K24" s="279">
        <f>J24*(1+CHOOSE(MATCH($L$4,{"Worst Case","Base Case","Best Case"},0),J5,J8,J6))</f>
        <v>499367.50919999997</v>
      </c>
      <c r="L24" s="279">
        <f>K24*(1+CHOOSE(MATCH($L$4,{"Worst Case","Base Case","Best Case"},0),J5,J8,J6))</f>
        <v>531826.39729799994</v>
      </c>
      <c r="M24" s="279">
        <f>L24*(1+CHOOSE(MATCH($L$4,{"Worst Case","Base Case","Best Case"},0),J5,J8,J6))</f>
        <v>566395.11312236986</v>
      </c>
      <c r="N24" s="279">
        <f>M24*(1+CHOOSE(MATCH($L$4,{"Worst Case","Base Case","Best Case"},0),J5,J8,J6))</f>
        <v>603210.79547532392</v>
      </c>
    </row>
    <row r="25" spans="3:17" ht="15.75">
      <c r="D25" s="268" t="s">
        <v>126</v>
      </c>
      <c r="E25" s="321">
        <v>17320</v>
      </c>
      <c r="F25" s="322">
        <v>11682</v>
      </c>
      <c r="G25" s="322">
        <v>2131</v>
      </c>
      <c r="H25" s="322">
        <v>26859</v>
      </c>
      <c r="I25" s="322">
        <v>13337</v>
      </c>
      <c r="J25" s="278">
        <f>$J$24*J39</f>
        <v>19099.992249013616</v>
      </c>
      <c r="K25" s="278">
        <f>K24*J39</f>
        <v>20341.491745199502</v>
      </c>
      <c r="L25" s="278">
        <f>L24*J39</f>
        <v>21663.688708637466</v>
      </c>
      <c r="M25" s="278">
        <f>M24*J39</f>
        <v>23071.828474698901</v>
      </c>
      <c r="N25" s="278">
        <f>N24*J39</f>
        <v>24571.49732555433</v>
      </c>
    </row>
    <row r="26" spans="3:17" ht="15.75">
      <c r="D26" s="268" t="s">
        <v>127</v>
      </c>
      <c r="E26" s="321">
        <v>28490</v>
      </c>
      <c r="F26" s="322">
        <v>24076</v>
      </c>
      <c r="G26" s="322">
        <v>12935</v>
      </c>
      <c r="H26" s="322">
        <v>47114</v>
      </c>
      <c r="I26" s="322">
        <v>29031</v>
      </c>
      <c r="J26" s="281">
        <f>J24*J38</f>
        <v>36725.600128147802</v>
      </c>
      <c r="K26" s="281">
        <f>K24*J38</f>
        <v>39112.764136477403</v>
      </c>
      <c r="L26" s="281">
        <f>L24*J38</f>
        <v>41655.093805348435</v>
      </c>
      <c r="M26" s="281">
        <f>M24*J38</f>
        <v>44362.674902696075</v>
      </c>
      <c r="N26" s="281">
        <f>N24*J38</f>
        <v>47246.24877137132</v>
      </c>
    </row>
    <row r="27" spans="3:17" ht="15.75">
      <c r="D27" s="268" t="s">
        <v>128</v>
      </c>
      <c r="E27" s="321">
        <v>37.26</v>
      </c>
      <c r="F27" s="322">
        <v>26.93</v>
      </c>
      <c r="G27" s="322">
        <v>4.91</v>
      </c>
      <c r="H27" s="322">
        <v>61.91</v>
      </c>
      <c r="I27" s="322">
        <v>30.74</v>
      </c>
      <c r="J27" s="115"/>
      <c r="K27" s="115"/>
      <c r="L27" s="115"/>
      <c r="M27" s="115"/>
      <c r="N27" s="115"/>
    </row>
    <row r="28" spans="3:17" ht="15.75">
      <c r="D28" s="268" t="s">
        <v>129</v>
      </c>
      <c r="E28" s="117">
        <v>58</v>
      </c>
      <c r="F28" s="115">
        <v>6</v>
      </c>
      <c r="G28" s="115">
        <v>4</v>
      </c>
      <c r="H28" s="115">
        <v>10.5</v>
      </c>
      <c r="I28" s="115"/>
      <c r="J28" s="115"/>
      <c r="K28" s="115"/>
      <c r="L28" s="115"/>
      <c r="M28" s="115"/>
      <c r="N28" s="115"/>
    </row>
    <row r="29" spans="3:17" ht="15.75">
      <c r="D29" s="268" t="s">
        <v>456</v>
      </c>
      <c r="E29" s="213">
        <v>0.52980000000000005</v>
      </c>
      <c r="F29" s="213">
        <v>0.52980000000000005</v>
      </c>
      <c r="G29" s="213">
        <v>0.52980000000000005</v>
      </c>
      <c r="H29" s="213">
        <v>0.52980000000000005</v>
      </c>
      <c r="I29" s="213">
        <v>0.52980000000000005</v>
      </c>
      <c r="J29" s="115"/>
      <c r="K29" s="115"/>
      <c r="L29" s="115"/>
      <c r="M29" s="115"/>
      <c r="N29" s="115"/>
    </row>
    <row r="31" spans="3:17" ht="15.75">
      <c r="C31" s="265" t="s">
        <v>131</v>
      </c>
      <c r="D31" s="265"/>
      <c r="E31" s="282" t="s">
        <v>116</v>
      </c>
      <c r="F31" s="282" t="s">
        <v>117</v>
      </c>
      <c r="G31" s="282" t="s">
        <v>118</v>
      </c>
      <c r="H31" s="282" t="s">
        <v>119</v>
      </c>
      <c r="I31" s="282" t="s">
        <v>120</v>
      </c>
      <c r="J31" s="265"/>
      <c r="K31" s="265"/>
      <c r="L31" s="265"/>
      <c r="M31" s="265"/>
      <c r="N31" s="265"/>
      <c r="O31" s="283"/>
      <c r="P31" s="283"/>
      <c r="Q31" s="283"/>
    </row>
    <row r="32" spans="3:17" ht="15.75">
      <c r="D32" s="267" t="s">
        <v>132</v>
      </c>
      <c r="E32" s="284">
        <v>0.32340584445896742</v>
      </c>
      <c r="F32" s="284">
        <v>0.22506502263751083</v>
      </c>
      <c r="G32" s="284">
        <v>3.9815403011845593E-2</v>
      </c>
      <c r="H32" s="284">
        <v>0.35511337343822302</v>
      </c>
      <c r="I32" s="284">
        <v>0.1638754070160349</v>
      </c>
    </row>
    <row r="33" spans="3:14" ht="15.75">
      <c r="D33" s="267" t="s">
        <v>92</v>
      </c>
      <c r="E33" s="285">
        <v>8.3199141170155659</v>
      </c>
      <c r="F33" s="285">
        <v>11.511325659116228</v>
      </c>
      <c r="G33" s="285">
        <v>63.136456211812629</v>
      </c>
      <c r="H33" s="285">
        <v>5.0072686157325155</v>
      </c>
      <c r="I33" s="285">
        <v>10.084580351333768</v>
      </c>
    </row>
    <row r="34" spans="3:14" ht="15.75">
      <c r="D34" s="267" t="s">
        <v>93</v>
      </c>
      <c r="E34" s="286">
        <v>1.48</v>
      </c>
      <c r="F34" s="286">
        <v>1.52</v>
      </c>
      <c r="G34" s="286">
        <v>1.66</v>
      </c>
      <c r="H34" s="286">
        <v>1.62</v>
      </c>
      <c r="I34" s="286">
        <v>1.65</v>
      </c>
    </row>
    <row r="35" spans="3:14" ht="15.75">
      <c r="D35" s="267" t="s">
        <v>95</v>
      </c>
      <c r="E35" s="285">
        <v>6.3531765531765529</v>
      </c>
      <c r="F35" s="285">
        <v>8.1773135072271135</v>
      </c>
      <c r="G35" s="285">
        <v>15.568766911480479</v>
      </c>
      <c r="H35" s="285">
        <v>3.8819246932971092</v>
      </c>
      <c r="I35" s="285">
        <v>6.3795597809238398</v>
      </c>
    </row>
    <row r="36" spans="3:14" ht="15.75">
      <c r="D36" s="267" t="s">
        <v>133</v>
      </c>
      <c r="E36" s="287">
        <v>3.1199999999999999E-2</v>
      </c>
      <c r="F36" s="287">
        <v>3.0300000000000001E-2</v>
      </c>
      <c r="G36" s="287">
        <v>3.1099999999999999E-2</v>
      </c>
      <c r="H36" s="287">
        <v>3.7999999999999999E-2</v>
      </c>
      <c r="I36" s="287">
        <v>3.2000000000000001E-2</v>
      </c>
    </row>
    <row r="37" spans="3:14" ht="15.75">
      <c r="D37" s="267" t="s">
        <v>134</v>
      </c>
      <c r="E37" s="286">
        <v>0.87</v>
      </c>
      <c r="F37" s="286">
        <v>1.08</v>
      </c>
      <c r="G37" s="286">
        <v>1.1299999999999999</v>
      </c>
      <c r="H37" s="286">
        <v>0.6</v>
      </c>
      <c r="I37" s="286"/>
    </row>
    <row r="38" spans="3:14" ht="15.75">
      <c r="D38" s="268" t="s">
        <v>201</v>
      </c>
      <c r="E38" s="287">
        <f>E26/E24</f>
        <v>0.12377753930773208</v>
      </c>
      <c r="F38" s="287">
        <f t="shared" ref="F38:I38" si="0">F26/F24</f>
        <v>6.9425100420714494E-2</v>
      </c>
      <c r="G38" s="287">
        <f t="shared" si="0"/>
        <v>2.7335915821863239E-2</v>
      </c>
      <c r="H38" s="287">
        <f t="shared" si="0"/>
        <v>0.10514569845318836</v>
      </c>
      <c r="I38" s="287">
        <f t="shared" si="0"/>
        <v>6.593878329759785E-2</v>
      </c>
      <c r="J38" s="288">
        <f>AVERAGE(E38:I38)</f>
        <v>7.8324607460219214E-2</v>
      </c>
    </row>
    <row r="39" spans="3:14" ht="15.75">
      <c r="D39" s="268" t="s">
        <v>138</v>
      </c>
      <c r="E39" s="287">
        <f t="shared" ref="E39:H39" si="1">E25/E24</f>
        <v>7.5248402274830456E-2</v>
      </c>
      <c r="F39" s="287">
        <f t="shared" si="1"/>
        <v>3.3685995311297005E-2</v>
      </c>
      <c r="G39" s="287">
        <f t="shared" si="1"/>
        <v>4.5035049568141134E-3</v>
      </c>
      <c r="H39" s="287">
        <f t="shared" si="1"/>
        <v>5.9942019670462837E-2</v>
      </c>
      <c r="I39" s="287">
        <f>I25/I24</f>
        <v>3.0292637278773123E-2</v>
      </c>
      <c r="J39" s="288">
        <f>AVERAGE(E39:I39)</f>
        <v>4.0734511898435508E-2</v>
      </c>
    </row>
    <row r="41" spans="3:14" ht="15.75">
      <c r="C41" s="265" t="s">
        <v>457</v>
      </c>
      <c r="D41" s="265"/>
      <c r="E41" s="282" t="s">
        <v>116</v>
      </c>
      <c r="F41" s="282" t="s">
        <v>117</v>
      </c>
      <c r="G41" s="282" t="s">
        <v>118</v>
      </c>
      <c r="H41" s="282" t="s">
        <v>119</v>
      </c>
      <c r="I41" s="282" t="s">
        <v>120</v>
      </c>
      <c r="J41" s="265"/>
      <c r="K41" s="265"/>
      <c r="L41" s="402"/>
      <c r="M41" s="403"/>
      <c r="N41" s="403"/>
    </row>
    <row r="42" spans="3:14" ht="15.75">
      <c r="D42" s="267" t="s">
        <v>236</v>
      </c>
      <c r="E42" s="290">
        <v>0.18</v>
      </c>
      <c r="F42" s="290">
        <v>0.16</v>
      </c>
      <c r="G42" s="290">
        <v>7.0000000000000007E-2</v>
      </c>
      <c r="H42" s="290">
        <v>0.32</v>
      </c>
      <c r="I42" s="290">
        <v>0.16</v>
      </c>
    </row>
    <row r="43" spans="3:14" ht="15.75">
      <c r="D43" s="267" t="s">
        <v>237</v>
      </c>
      <c r="E43" s="314">
        <v>0.99399999999999999</v>
      </c>
      <c r="F43" s="314">
        <v>1.008</v>
      </c>
      <c r="G43" s="314">
        <v>1.054</v>
      </c>
      <c r="H43" s="323">
        <v>1.089</v>
      </c>
      <c r="I43" s="324">
        <v>1.1299999999999999</v>
      </c>
    </row>
    <row r="44" spans="3:14" ht="15.75">
      <c r="D44" s="267" t="s">
        <v>79</v>
      </c>
      <c r="E44" s="291">
        <v>14.019733023795705</v>
      </c>
      <c r="F44" s="291">
        <v>7.153491941673062</v>
      </c>
      <c r="G44" s="291">
        <v>1.7532710280373831</v>
      </c>
      <c r="H44" s="291">
        <v>9.7235478428536997</v>
      </c>
      <c r="I44" s="291">
        <v>6.0634920634920633</v>
      </c>
    </row>
    <row r="45" spans="3:14" ht="15.75">
      <c r="D45" s="267" t="s">
        <v>458</v>
      </c>
      <c r="E45" s="292">
        <v>32.979999999999997</v>
      </c>
      <c r="F45" s="292">
        <v>36.9</v>
      </c>
      <c r="G45" s="292">
        <v>38.53</v>
      </c>
      <c r="H45" s="292">
        <v>39.93</v>
      </c>
      <c r="I45" s="292"/>
    </row>
    <row r="46" spans="3:14" ht="15.75">
      <c r="D46" s="267" t="s">
        <v>459</v>
      </c>
      <c r="E46" s="317">
        <v>1756</v>
      </c>
      <c r="F46" s="317">
        <v>2390</v>
      </c>
      <c r="G46" s="317">
        <v>2850</v>
      </c>
      <c r="H46" s="317">
        <v>3537</v>
      </c>
      <c r="I46" s="317"/>
    </row>
    <row r="47" spans="3:14" ht="15.75">
      <c r="D47" s="267" t="s">
        <v>460</v>
      </c>
      <c r="E47" s="293">
        <v>1.4</v>
      </c>
      <c r="F47" s="293">
        <v>1.8</v>
      </c>
      <c r="G47" s="293">
        <v>2.1</v>
      </c>
      <c r="H47" s="293">
        <v>2.56</v>
      </c>
      <c r="I47" s="317"/>
    </row>
    <row r="48" spans="3:14" ht="15.75">
      <c r="D48" s="267" t="s">
        <v>461</v>
      </c>
      <c r="E48" s="317">
        <v>4127</v>
      </c>
      <c r="F48" s="317">
        <v>4656</v>
      </c>
      <c r="G48" s="317">
        <v>5122</v>
      </c>
      <c r="H48" s="317">
        <v>5663</v>
      </c>
      <c r="I48" s="317"/>
    </row>
    <row r="49" spans="3:14" ht="15.75">
      <c r="D49" s="267" t="s">
        <v>490</v>
      </c>
      <c r="E49" s="293">
        <v>35.6</v>
      </c>
      <c r="F49" s="293">
        <v>36.9</v>
      </c>
      <c r="G49" s="293">
        <v>38.409999999999997</v>
      </c>
      <c r="H49" s="293">
        <v>39.5</v>
      </c>
      <c r="I49" s="317"/>
    </row>
    <row r="51" spans="3:14" ht="15">
      <c r="C51" s="265" t="s">
        <v>141</v>
      </c>
      <c r="D51" s="265"/>
      <c r="E51" s="265"/>
      <c r="F51" s="265"/>
      <c r="G51" s="265"/>
      <c r="H51" s="265"/>
      <c r="I51" s="265"/>
      <c r="J51" s="265"/>
      <c r="K51" s="265"/>
      <c r="L51" s="265"/>
      <c r="M51" s="265"/>
      <c r="N51" s="265"/>
    </row>
    <row r="52" spans="3:14" ht="15.75">
      <c r="D52" s="267" t="s">
        <v>239</v>
      </c>
      <c r="E52" s="286">
        <v>4</v>
      </c>
    </row>
    <row r="53" spans="3:14" ht="15.75">
      <c r="D53" s="267" t="s">
        <v>143</v>
      </c>
      <c r="E53" s="286">
        <v>4</v>
      </c>
    </row>
    <row r="54" spans="3:14" ht="15.75">
      <c r="D54" s="267" t="s">
        <v>222</v>
      </c>
      <c r="E54" s="286">
        <v>4</v>
      </c>
    </row>
    <row r="55" spans="3:14" ht="15.75">
      <c r="D55" s="267" t="s">
        <v>223</v>
      </c>
      <c r="E55" s="286">
        <v>3</v>
      </c>
    </row>
    <row r="56" spans="3:14" ht="15">
      <c r="E56" s="286">
        <f>AVERAGE(E52:E55)</f>
        <v>3.75</v>
      </c>
    </row>
    <row r="57" spans="3:14" ht="15.75">
      <c r="C57" s="266" t="s">
        <v>462</v>
      </c>
      <c r="D57" s="266"/>
      <c r="E57" s="266"/>
      <c r="F57" s="266"/>
      <c r="G57" s="266"/>
      <c r="H57" s="266"/>
      <c r="I57" s="266"/>
      <c r="J57" s="266"/>
      <c r="K57" s="266"/>
      <c r="L57" s="266"/>
      <c r="M57" s="385" t="s">
        <v>463</v>
      </c>
      <c r="N57" s="385"/>
    </row>
    <row r="58" spans="3:14" ht="15.75">
      <c r="E58" s="296"/>
      <c r="F58" s="297" t="s">
        <v>464</v>
      </c>
      <c r="G58" s="297" t="s">
        <v>9</v>
      </c>
      <c r="H58" s="297" t="s">
        <v>465</v>
      </c>
    </row>
    <row r="59" spans="3:14" ht="15.75">
      <c r="D59" s="267" t="s">
        <v>466</v>
      </c>
      <c r="E59" s="298" t="s">
        <v>467</v>
      </c>
      <c r="F59" s="299">
        <v>376</v>
      </c>
      <c r="G59" s="300">
        <f>$E$7</f>
        <v>310</v>
      </c>
      <c r="H59" s="301">
        <f>F59/G59-1</f>
        <v>0.2129032258064516</v>
      </c>
    </row>
    <row r="60" spans="3:14" ht="15">
      <c r="E60" s="286" t="s">
        <v>438</v>
      </c>
      <c r="F60" s="292">
        <v>309.8</v>
      </c>
      <c r="G60" s="302">
        <f t="shared" ref="G60:G61" si="2">$E$7</f>
        <v>310</v>
      </c>
      <c r="H60" s="303">
        <f t="shared" ref="H60:H61" si="3">F60/G60-1</f>
        <v>-6.4516129032254899E-4</v>
      </c>
    </row>
    <row r="61" spans="3:14" ht="15">
      <c r="E61" s="304" t="s">
        <v>468</v>
      </c>
      <c r="F61" s="318">
        <v>234.01</v>
      </c>
      <c r="G61" s="306">
        <f t="shared" si="2"/>
        <v>310</v>
      </c>
      <c r="H61" s="307">
        <f t="shared" si="3"/>
        <v>-0.24512903225806459</v>
      </c>
    </row>
    <row r="62" spans="3:14" ht="15.75">
      <c r="D62" s="267" t="s">
        <v>469</v>
      </c>
      <c r="E62" s="297"/>
      <c r="F62" s="297" t="s">
        <v>495</v>
      </c>
      <c r="G62" s="297" t="s">
        <v>470</v>
      </c>
      <c r="H62" s="297"/>
    </row>
    <row r="63" spans="3:14" ht="15">
      <c r="E63" s="238" t="s">
        <v>471</v>
      </c>
      <c r="F63" s="308">
        <v>0.31</v>
      </c>
      <c r="G63" s="325">
        <v>0.5</v>
      </c>
    </row>
    <row r="64" spans="3:14" ht="15">
      <c r="E64" s="238" t="s">
        <v>472</v>
      </c>
      <c r="F64" s="308">
        <v>9.8699999999999992</v>
      </c>
      <c r="G64" s="326">
        <v>10.4</v>
      </c>
    </row>
    <row r="65" spans="2:14" ht="15">
      <c r="E65" s="238" t="s">
        <v>473</v>
      </c>
      <c r="F65" s="308">
        <v>1.65</v>
      </c>
      <c r="G65" s="326">
        <v>2.2999999999999998</v>
      </c>
    </row>
    <row r="66" spans="2:14" ht="15">
      <c r="E66" s="238" t="s">
        <v>95</v>
      </c>
      <c r="F66" s="308">
        <f>I35</f>
        <v>6.3795597809238398</v>
      </c>
      <c r="G66" s="326">
        <v>12.7</v>
      </c>
    </row>
    <row r="67" spans="2:14" ht="15">
      <c r="E67" s="238" t="s">
        <v>474</v>
      </c>
      <c r="F67" s="308">
        <v>10.185612935159215</v>
      </c>
      <c r="G67" s="326">
        <v>12.3</v>
      </c>
    </row>
    <row r="68" spans="2:14" ht="15.75">
      <c r="D68" s="267" t="s">
        <v>475</v>
      </c>
      <c r="E68" s="297"/>
      <c r="F68" s="297"/>
      <c r="G68" s="297"/>
      <c r="H68" s="297"/>
    </row>
    <row r="69" spans="2:14" ht="15">
      <c r="E69" s="238" t="s">
        <v>476</v>
      </c>
      <c r="F69" s="319">
        <v>9.7000000000000003E-2</v>
      </c>
    </row>
    <row r="70" spans="2:14" ht="15">
      <c r="E70" s="238" t="s">
        <v>477</v>
      </c>
      <c r="F70" s="319">
        <v>0.12</v>
      </c>
    </row>
    <row r="71" spans="2:14" ht="15">
      <c r="E71" s="238" t="s">
        <v>478</v>
      </c>
      <c r="F71" s="327">
        <v>6.21</v>
      </c>
    </row>
    <row r="72" spans="2:14" ht="15">
      <c r="E72" s="238" t="s">
        <v>479</v>
      </c>
      <c r="F72" s="320">
        <v>1</v>
      </c>
    </row>
    <row r="73" spans="2:14" ht="15">
      <c r="E73" s="238" t="s">
        <v>480</v>
      </c>
      <c r="F73" s="327">
        <v>8.33</v>
      </c>
    </row>
    <row r="75" spans="2:14" ht="15.75">
      <c r="B75" s="266" t="s">
        <v>481</v>
      </c>
      <c r="C75" s="266"/>
      <c r="D75" s="266"/>
      <c r="E75" s="266"/>
      <c r="F75" s="266"/>
      <c r="G75" s="266"/>
      <c r="H75" s="266"/>
      <c r="I75" s="266"/>
      <c r="J75" s="266"/>
      <c r="K75" s="266"/>
      <c r="L75" s="385"/>
      <c r="M75" s="385"/>
      <c r="N75" s="266"/>
    </row>
    <row r="76" spans="2:14" ht="15">
      <c r="D76" s="386" t="s">
        <v>498</v>
      </c>
      <c r="E76" s="386"/>
      <c r="F76" s="386"/>
      <c r="G76" s="386"/>
      <c r="H76" s="386"/>
      <c r="I76" s="386"/>
      <c r="J76" s="386"/>
      <c r="K76" s="386"/>
      <c r="L76" s="386"/>
      <c r="M76" s="386"/>
      <c r="N76" s="386"/>
    </row>
    <row r="77" spans="2:14" ht="15">
      <c r="D77" s="386"/>
      <c r="E77" s="386"/>
      <c r="F77" s="386"/>
      <c r="G77" s="386"/>
      <c r="H77" s="386"/>
      <c r="I77" s="386"/>
      <c r="J77" s="386"/>
      <c r="K77" s="386"/>
      <c r="L77" s="386"/>
      <c r="M77" s="386"/>
      <c r="N77" s="386"/>
    </row>
    <row r="78" spans="2:14" ht="15">
      <c r="D78" s="386"/>
      <c r="E78" s="386"/>
      <c r="F78" s="386"/>
      <c r="G78" s="386"/>
      <c r="H78" s="386"/>
      <c r="I78" s="386"/>
      <c r="J78" s="386"/>
      <c r="K78" s="386"/>
      <c r="L78" s="386"/>
      <c r="M78" s="386"/>
      <c r="N78" s="386"/>
    </row>
    <row r="79" spans="2:14" ht="15">
      <c r="D79" s="386"/>
      <c r="E79" s="386"/>
      <c r="F79" s="386"/>
      <c r="G79" s="386"/>
      <c r="H79" s="386"/>
      <c r="I79" s="386"/>
      <c r="J79" s="386"/>
      <c r="K79" s="386"/>
      <c r="L79" s="386"/>
      <c r="M79" s="386"/>
      <c r="N79" s="386"/>
    </row>
    <row r="80" spans="2:14" ht="8.4499999999999993" customHeight="1">
      <c r="D80" s="386"/>
      <c r="E80" s="386"/>
      <c r="F80" s="386"/>
      <c r="G80" s="386"/>
      <c r="H80" s="386"/>
      <c r="I80" s="386"/>
      <c r="J80" s="386"/>
      <c r="K80" s="386"/>
      <c r="L80" s="386"/>
      <c r="M80" s="386"/>
      <c r="N80" s="386"/>
    </row>
    <row r="81" spans="4:14" ht="15" hidden="1">
      <c r="D81" s="386"/>
      <c r="E81" s="386"/>
      <c r="F81" s="386"/>
      <c r="G81" s="386"/>
      <c r="H81" s="386"/>
      <c r="I81" s="386"/>
      <c r="J81" s="386"/>
      <c r="K81" s="386"/>
      <c r="L81" s="386"/>
      <c r="M81" s="386"/>
      <c r="N81" s="386"/>
    </row>
    <row r="82" spans="4:14" ht="15" hidden="1">
      <c r="D82" s="386"/>
      <c r="E82" s="386"/>
      <c r="F82" s="386"/>
      <c r="G82" s="386"/>
      <c r="H82" s="386"/>
      <c r="I82" s="386"/>
      <c r="J82" s="386"/>
      <c r="K82" s="386"/>
      <c r="L82" s="386"/>
      <c r="M82" s="386"/>
      <c r="N82" s="386"/>
    </row>
  </sheetData>
  <mergeCells count="14">
    <mergeCell ref="E9:F9"/>
    <mergeCell ref="E4:F4"/>
    <mergeCell ref="E5:F5"/>
    <mergeCell ref="E6:F6"/>
    <mergeCell ref="E7:F7"/>
    <mergeCell ref="E8:F8"/>
    <mergeCell ref="L75:M75"/>
    <mergeCell ref="D76:N82"/>
    <mergeCell ref="E10:F10"/>
    <mergeCell ref="E11:F11"/>
    <mergeCell ref="E12:N20"/>
    <mergeCell ref="L22:N22"/>
    <mergeCell ref="L41:N41"/>
    <mergeCell ref="M57:N57"/>
  </mergeCells>
  <dataValidations count="1">
    <dataValidation type="list" allowBlank="1" showInputMessage="1" showErrorMessage="1" sqref="L4" xr:uid="{00000000-0002-0000-1200-000000000000}">
      <formula1>"Worst Case,Base Case,Best Case"</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7B628-66B3-47F2-86D0-93E737C0B9A5}">
  <dimension ref="B1:Q82"/>
  <sheetViews>
    <sheetView showGridLines="0" workbookViewId="0">
      <selection activeCell="J9" sqref="J9"/>
    </sheetView>
  </sheetViews>
  <sheetFormatPr defaultColWidth="14.42578125" defaultRowHeight="14.45" customHeight="1"/>
  <cols>
    <col min="1" max="3" width="1.28515625" style="358" customWidth="1"/>
    <col min="4" max="4" width="36.85546875" style="358" customWidth="1"/>
    <col min="5" max="5" width="15.28515625" style="358" customWidth="1"/>
    <col min="6" max="6" width="17.7109375" style="358" customWidth="1"/>
    <col min="7" max="8" width="14.42578125" style="358"/>
    <col min="9" max="9" width="12.140625" style="358" customWidth="1"/>
    <col min="10" max="14" width="12.28515625" style="358" customWidth="1"/>
    <col min="15" max="16384" width="14.42578125" style="358"/>
  </cols>
  <sheetData>
    <row r="1" spans="3:14" ht="15.75">
      <c r="C1" s="328" t="s">
        <v>103</v>
      </c>
      <c r="D1" s="329"/>
      <c r="E1" s="329"/>
      <c r="F1" s="329"/>
      <c r="G1" s="329"/>
      <c r="H1" s="329"/>
      <c r="I1" s="329"/>
      <c r="J1" s="329"/>
      <c r="K1" s="329"/>
      <c r="L1" s="329"/>
      <c r="M1" s="329"/>
      <c r="N1" s="329"/>
    </row>
    <row r="2" spans="3:14" ht="15">
      <c r="D2" s="330" t="s">
        <v>434</v>
      </c>
    </row>
    <row r="3" spans="3:14" ht="15.75">
      <c r="C3" s="331" t="s">
        <v>104</v>
      </c>
      <c r="D3" s="331"/>
      <c r="E3" s="331"/>
      <c r="F3" s="331"/>
      <c r="G3" s="331"/>
      <c r="H3" s="332" t="s">
        <v>435</v>
      </c>
      <c r="I3" s="331"/>
      <c r="J3" s="331"/>
      <c r="K3" s="331"/>
      <c r="L3" s="331"/>
      <c r="M3" s="331"/>
      <c r="N3" s="331"/>
    </row>
    <row r="4" spans="3:14" ht="15.75">
      <c r="D4" s="333" t="s">
        <v>3</v>
      </c>
      <c r="E4" s="572" t="s">
        <v>499</v>
      </c>
      <c r="F4" s="573"/>
      <c r="H4" s="333" t="s">
        <v>437</v>
      </c>
      <c r="I4" s="333"/>
      <c r="J4" s="334">
        <f>_xlfn.RRI(5,E24,I24)</f>
        <v>0.12394382429135398</v>
      </c>
      <c r="L4" s="335" t="s">
        <v>438</v>
      </c>
    </row>
    <row r="5" spans="3:14" ht="15.75">
      <c r="D5" s="333" t="s">
        <v>5</v>
      </c>
      <c r="E5" s="574" t="s">
        <v>500</v>
      </c>
      <c r="F5" s="575"/>
      <c r="H5" s="333" t="s">
        <v>440</v>
      </c>
      <c r="I5" s="333"/>
      <c r="J5" s="336">
        <v>3.4000000000000002E-2</v>
      </c>
    </row>
    <row r="6" spans="3:14" ht="15.75">
      <c r="D6" s="333" t="s">
        <v>441</v>
      </c>
      <c r="E6" s="576" t="s">
        <v>501</v>
      </c>
      <c r="F6" s="577"/>
      <c r="H6" s="333" t="s">
        <v>443</v>
      </c>
      <c r="I6" s="333"/>
      <c r="J6" s="336">
        <v>0.2011</v>
      </c>
    </row>
    <row r="7" spans="3:14" ht="15.75">
      <c r="D7" s="333" t="s">
        <v>444</v>
      </c>
      <c r="E7" s="578">
        <v>237.77</v>
      </c>
      <c r="F7" s="579"/>
      <c r="H7" s="333" t="s">
        <v>445</v>
      </c>
      <c r="I7" s="333"/>
      <c r="J7" s="336">
        <v>4.8000000000000001E-2</v>
      </c>
    </row>
    <row r="8" spans="3:14" ht="15.75">
      <c r="D8" s="333" t="s">
        <v>446</v>
      </c>
      <c r="E8" s="570">
        <v>1258</v>
      </c>
      <c r="F8" s="571"/>
      <c r="H8" s="333" t="s">
        <v>447</v>
      </c>
      <c r="I8" s="333"/>
      <c r="J8" s="336">
        <v>6.5000000000000002E-2</v>
      </c>
    </row>
    <row r="9" spans="3:14" ht="15.75">
      <c r="D9" s="333" t="s">
        <v>109</v>
      </c>
      <c r="E9" s="570">
        <v>299121</v>
      </c>
      <c r="F9" s="571"/>
      <c r="H9" s="333" t="s">
        <v>502</v>
      </c>
      <c r="I9" s="333"/>
      <c r="J9" s="336">
        <v>0.22</v>
      </c>
    </row>
    <row r="10" spans="3:14" ht="15.75">
      <c r="D10" s="333" t="s">
        <v>11</v>
      </c>
      <c r="E10" s="576" t="s">
        <v>503</v>
      </c>
      <c r="F10" s="577"/>
      <c r="H10" s="337"/>
    </row>
    <row r="11" spans="3:14" ht="15.75">
      <c r="D11" s="333" t="s">
        <v>112</v>
      </c>
      <c r="E11" s="582" t="s">
        <v>504</v>
      </c>
      <c r="F11" s="583"/>
    </row>
    <row r="12" spans="3:14" ht="15.75">
      <c r="D12" s="333" t="s">
        <v>13</v>
      </c>
      <c r="E12" s="584" t="s">
        <v>505</v>
      </c>
      <c r="F12" s="585"/>
      <c r="G12" s="585"/>
      <c r="H12" s="585"/>
      <c r="I12" s="585"/>
      <c r="J12" s="585"/>
      <c r="K12" s="585"/>
      <c r="L12" s="585"/>
      <c r="M12" s="585"/>
      <c r="N12" s="586"/>
    </row>
    <row r="13" spans="3:14" ht="15.75">
      <c r="D13" s="333"/>
      <c r="E13" s="587"/>
      <c r="F13" s="588"/>
      <c r="G13" s="588"/>
      <c r="H13" s="588"/>
      <c r="I13" s="588"/>
      <c r="J13" s="588"/>
      <c r="K13" s="588"/>
      <c r="L13" s="588"/>
      <c r="M13" s="588"/>
      <c r="N13" s="589"/>
    </row>
    <row r="14" spans="3:14" ht="15.75">
      <c r="D14" s="333"/>
      <c r="E14" s="587"/>
      <c r="F14" s="588"/>
      <c r="G14" s="588"/>
      <c r="H14" s="588"/>
      <c r="I14" s="588"/>
      <c r="J14" s="588"/>
      <c r="K14" s="588"/>
      <c r="L14" s="588"/>
      <c r="M14" s="588"/>
      <c r="N14" s="589"/>
    </row>
    <row r="15" spans="3:14" ht="15.75">
      <c r="D15" s="333"/>
      <c r="E15" s="587"/>
      <c r="F15" s="588"/>
      <c r="G15" s="588"/>
      <c r="H15" s="588"/>
      <c r="I15" s="588"/>
      <c r="J15" s="588"/>
      <c r="K15" s="588"/>
      <c r="L15" s="588"/>
      <c r="M15" s="588"/>
      <c r="N15" s="589"/>
    </row>
    <row r="16" spans="3:14" ht="15.75">
      <c r="D16" s="333"/>
      <c r="E16" s="587"/>
      <c r="F16" s="588"/>
      <c r="G16" s="588"/>
      <c r="H16" s="588"/>
      <c r="I16" s="588"/>
      <c r="J16" s="588"/>
      <c r="K16" s="588"/>
      <c r="L16" s="588"/>
      <c r="M16" s="588"/>
      <c r="N16" s="589"/>
    </row>
    <row r="17" spans="3:17" ht="15.75">
      <c r="D17" s="333"/>
      <c r="E17" s="587"/>
      <c r="F17" s="588"/>
      <c r="G17" s="588"/>
      <c r="H17" s="588"/>
      <c r="I17" s="588"/>
      <c r="J17" s="588"/>
      <c r="K17" s="588"/>
      <c r="L17" s="588"/>
      <c r="M17" s="588"/>
      <c r="N17" s="589"/>
    </row>
    <row r="18" spans="3:17" ht="15.75">
      <c r="D18" s="333"/>
      <c r="E18" s="587"/>
      <c r="F18" s="588"/>
      <c r="G18" s="588"/>
      <c r="H18" s="588"/>
      <c r="I18" s="588"/>
      <c r="J18" s="588"/>
      <c r="K18" s="588"/>
      <c r="L18" s="588"/>
      <c r="M18" s="588"/>
      <c r="N18" s="589"/>
    </row>
    <row r="19" spans="3:17" ht="15.75">
      <c r="D19" s="333"/>
      <c r="E19" s="587"/>
      <c r="F19" s="588"/>
      <c r="G19" s="588"/>
      <c r="H19" s="588"/>
      <c r="I19" s="588"/>
      <c r="J19" s="588"/>
      <c r="K19" s="588"/>
      <c r="L19" s="588"/>
      <c r="M19" s="588"/>
      <c r="N19" s="589"/>
    </row>
    <row r="20" spans="3:17" ht="4.9000000000000004" customHeight="1">
      <c r="D20" s="333"/>
      <c r="E20" s="590"/>
      <c r="F20" s="591"/>
      <c r="G20" s="591"/>
      <c r="H20" s="591"/>
      <c r="I20" s="591"/>
      <c r="J20" s="591"/>
      <c r="K20" s="591"/>
      <c r="L20" s="591"/>
      <c r="M20" s="591"/>
      <c r="N20" s="592"/>
    </row>
    <row r="21" spans="3:17" ht="15.75">
      <c r="D21" s="333"/>
      <c r="E21" s="338"/>
      <c r="F21" s="338"/>
    </row>
    <row r="22" spans="3:17" ht="15">
      <c r="C22" s="331" t="s">
        <v>115</v>
      </c>
      <c r="D22" s="331"/>
      <c r="E22" s="331"/>
      <c r="F22" s="331"/>
      <c r="G22" s="331"/>
      <c r="H22" s="331"/>
      <c r="I22" s="331"/>
      <c r="J22" s="331"/>
      <c r="K22" s="331"/>
      <c r="L22" s="593"/>
      <c r="M22" s="594"/>
      <c r="N22" s="594"/>
    </row>
    <row r="23" spans="3:17" ht="15.75">
      <c r="D23" s="333"/>
      <c r="E23" s="339" t="s">
        <v>451</v>
      </c>
      <c r="F23" s="340" t="s">
        <v>452</v>
      </c>
      <c r="G23" s="340" t="s">
        <v>453</v>
      </c>
      <c r="H23" s="340" t="s">
        <v>454</v>
      </c>
      <c r="I23" s="340" t="s">
        <v>455</v>
      </c>
      <c r="J23" s="341" t="s">
        <v>121</v>
      </c>
      <c r="K23" s="341" t="s">
        <v>122</v>
      </c>
      <c r="L23" s="341" t="s">
        <v>123</v>
      </c>
      <c r="M23" s="341" t="s">
        <v>124</v>
      </c>
      <c r="N23" s="341" t="s">
        <v>156</v>
      </c>
    </row>
    <row r="24" spans="3:17" ht="15.75">
      <c r="D24" s="333" t="s">
        <v>125</v>
      </c>
      <c r="E24" s="67">
        <v>369795.89799999999</v>
      </c>
      <c r="F24" s="342">
        <v>539199.4</v>
      </c>
      <c r="G24" s="342">
        <v>629203.30000000005</v>
      </c>
      <c r="H24" s="342">
        <v>655258.9</v>
      </c>
      <c r="I24" s="342">
        <v>663262</v>
      </c>
      <c r="J24" s="343">
        <f>$I$24*(1+CHOOSE(MATCH($L$4,{"Worst Case","Base Case","Best Case"},0),J5,J8,J6))</f>
        <v>706374.02999999991</v>
      </c>
      <c r="K24" s="343">
        <f>J24*(1+CHOOSE(MATCH($L$4,{"Worst Case","Base Case","Best Case"},0),J5,J8,J6))</f>
        <v>752288.34194999991</v>
      </c>
      <c r="L24" s="343">
        <f>K24*(1+CHOOSE(MATCH($L$4,{"Worst Case","Base Case","Best Case"},0),J5,J8,J6))</f>
        <v>801187.08417674992</v>
      </c>
      <c r="M24" s="343">
        <f>L24*(1+CHOOSE(MATCH($L$4,{"Worst Case","Base Case","Best Case"},0),J5,J8,J6))</f>
        <v>853264.24464823864</v>
      </c>
      <c r="N24" s="343">
        <f>M24*(1+CHOOSE(MATCH($L$4,{"Worst Case","Base Case","Best Case"},0),J5,J8,J6))</f>
        <v>908726.42055037408</v>
      </c>
    </row>
    <row r="25" spans="3:17" ht="15.75">
      <c r="D25" s="333" t="s">
        <v>126</v>
      </c>
      <c r="E25" s="344">
        <v>8766.2000000000007</v>
      </c>
      <c r="F25" s="345">
        <v>4794.04</v>
      </c>
      <c r="G25" s="345">
        <v>10273.14</v>
      </c>
      <c r="H25" s="345">
        <v>19759.2</v>
      </c>
      <c r="I25" s="345">
        <v>38329</v>
      </c>
      <c r="J25" s="346">
        <f>$J$24*J39</f>
        <v>19335.885208778382</v>
      </c>
      <c r="K25" s="346">
        <f>K24*J39</f>
        <v>20592.717747348976</v>
      </c>
      <c r="L25" s="346">
        <f>L24*J39</f>
        <v>21931.244400926662</v>
      </c>
      <c r="M25" s="346">
        <f>M24*J39</f>
        <v>23356.775286986893</v>
      </c>
      <c r="N25" s="346">
        <f>N24*J39</f>
        <v>24874.965680641038</v>
      </c>
    </row>
    <row r="26" spans="3:17" ht="15.75">
      <c r="D26" s="333" t="s">
        <v>127</v>
      </c>
      <c r="E26" s="344">
        <v>61904.9</v>
      </c>
      <c r="F26" s="345">
        <v>87433.7</v>
      </c>
      <c r="G26" s="345">
        <v>79243.3</v>
      </c>
      <c r="H26" s="345">
        <v>11928</v>
      </c>
      <c r="I26" s="347">
        <v>88861</v>
      </c>
      <c r="J26" s="348">
        <f>J24*J38</f>
        <v>85849.738726561089</v>
      </c>
      <c r="K26" s="348">
        <f>K24*J38</f>
        <v>91429.971743787566</v>
      </c>
      <c r="L26" s="348">
        <f>L24*J38</f>
        <v>97372.91990713375</v>
      </c>
      <c r="M26" s="348">
        <f>M24*J38</f>
        <v>103702.15970109745</v>
      </c>
      <c r="N26" s="348">
        <f>N24*J38</f>
        <v>110442.80008166877</v>
      </c>
    </row>
    <row r="27" spans="3:17" ht="15.75">
      <c r="D27" s="333" t="s">
        <v>128</v>
      </c>
      <c r="E27" s="349">
        <v>12.9</v>
      </c>
      <c r="F27" s="350">
        <v>36.19</v>
      </c>
      <c r="G27" s="350">
        <v>29.18</v>
      </c>
      <c r="H27" s="350">
        <v>39.130000000000003</v>
      </c>
      <c r="I27" s="350">
        <v>28.8</v>
      </c>
    </row>
    <row r="28" spans="3:17" ht="15.75">
      <c r="D28" s="333" t="s">
        <v>129</v>
      </c>
      <c r="E28" s="349">
        <v>1.75</v>
      </c>
      <c r="F28" s="350">
        <v>4</v>
      </c>
      <c r="G28" s="350">
        <v>4</v>
      </c>
      <c r="H28" s="350">
        <v>4</v>
      </c>
      <c r="I28" s="350">
        <v>5</v>
      </c>
    </row>
    <row r="29" spans="3:17" ht="15.75">
      <c r="D29" s="333" t="s">
        <v>456</v>
      </c>
      <c r="E29" s="351">
        <v>0.60409999999999997</v>
      </c>
      <c r="F29" s="351">
        <v>0.58909999999999996</v>
      </c>
      <c r="G29" s="351">
        <v>0.58889999999999998</v>
      </c>
      <c r="H29" s="351">
        <v>0.58889999999999998</v>
      </c>
      <c r="I29" s="351">
        <v>0.58889999999999998</v>
      </c>
    </row>
    <row r="30" spans="3:17" ht="15.75">
      <c r="D30" s="333"/>
    </row>
    <row r="31" spans="3:17" ht="15.75">
      <c r="C31" s="331" t="s">
        <v>131</v>
      </c>
      <c r="D31" s="331"/>
      <c r="E31" s="352" t="s">
        <v>116</v>
      </c>
      <c r="F31" s="352" t="s">
        <v>117</v>
      </c>
      <c r="G31" s="352" t="s">
        <v>118</v>
      </c>
      <c r="H31" s="352" t="s">
        <v>119</v>
      </c>
      <c r="I31" s="352" t="s">
        <v>120</v>
      </c>
      <c r="J31" s="331"/>
      <c r="K31" s="331"/>
      <c r="L31" s="331"/>
      <c r="M31" s="331"/>
      <c r="N31" s="331"/>
      <c r="O31" s="353"/>
      <c r="P31" s="353"/>
      <c r="Q31" s="353"/>
    </row>
    <row r="32" spans="3:17" ht="15.75">
      <c r="D32" s="333" t="s">
        <v>132</v>
      </c>
      <c r="E32" s="354">
        <v>7.35</v>
      </c>
      <c r="F32" s="354">
        <v>17.54</v>
      </c>
      <c r="G32" s="354">
        <v>12.62</v>
      </c>
      <c r="H32" s="354">
        <v>14.6</v>
      </c>
      <c r="I32" s="354">
        <v>10.54</v>
      </c>
    </row>
    <row r="33" spans="3:14" ht="15.75">
      <c r="D33" s="333" t="s">
        <v>92</v>
      </c>
      <c r="E33" s="354">
        <v>7.91</v>
      </c>
      <c r="F33" s="354">
        <v>4.53</v>
      </c>
      <c r="G33" s="354">
        <v>5.36</v>
      </c>
      <c r="H33" s="354">
        <v>6.85</v>
      </c>
      <c r="I33" s="354">
        <v>8.5500000000000007</v>
      </c>
    </row>
    <row r="34" spans="3:14" ht="15.75">
      <c r="D34" s="333" t="s">
        <v>93</v>
      </c>
      <c r="E34" s="354">
        <v>0.53</v>
      </c>
      <c r="F34" s="354">
        <v>0.72799999999999998</v>
      </c>
      <c r="G34" s="354">
        <v>0.63100000000000001</v>
      </c>
      <c r="H34" s="354">
        <v>0.92400000000000004</v>
      </c>
      <c r="I34" s="354">
        <v>0.90200000000000002</v>
      </c>
    </row>
    <row r="35" spans="3:14" ht="15.75">
      <c r="D35" s="333" t="s">
        <v>95</v>
      </c>
      <c r="E35" s="354">
        <v>0.42</v>
      </c>
      <c r="F35" s="354">
        <v>0.42</v>
      </c>
      <c r="G35" s="354">
        <v>0.3</v>
      </c>
      <c r="H35" s="354">
        <v>0.56999999999999995</v>
      </c>
      <c r="I35" s="354">
        <v>0.47</v>
      </c>
    </row>
    <row r="36" spans="3:14" ht="15.75">
      <c r="D36" s="333" t="s">
        <v>133</v>
      </c>
      <c r="E36" s="355">
        <v>6.5100000000000005E-2</v>
      </c>
      <c r="F36" s="355">
        <v>5.4199999999999998E-2</v>
      </c>
      <c r="G36" s="355">
        <v>9.0499999999999997E-2</v>
      </c>
      <c r="H36" s="354">
        <v>3.7</v>
      </c>
      <c r="I36" s="354">
        <v>4.99</v>
      </c>
    </row>
    <row r="37" spans="3:14" ht="15.75">
      <c r="D37" s="333" t="s">
        <v>134</v>
      </c>
      <c r="E37" s="354">
        <v>0.5</v>
      </c>
      <c r="F37" s="354">
        <v>0.42</v>
      </c>
      <c r="G37" s="354">
        <v>0.46</v>
      </c>
      <c r="H37" s="354">
        <v>0.36</v>
      </c>
      <c r="I37" s="354">
        <v>0.45</v>
      </c>
    </row>
    <row r="38" spans="3:14" ht="15.75">
      <c r="D38" s="333" t="s">
        <v>201</v>
      </c>
      <c r="E38" s="356">
        <f>E26/E24</f>
        <v>0.16740288449603086</v>
      </c>
      <c r="F38" s="356">
        <f>F26/F24</f>
        <v>0.16215466856973504</v>
      </c>
      <c r="G38" s="356">
        <f>G26/G24</f>
        <v>0.12594228288376746</v>
      </c>
      <c r="H38" s="356">
        <f>H26/H24</f>
        <v>1.8203491780119277E-2</v>
      </c>
      <c r="I38" s="356">
        <f>I26/I24</f>
        <v>0.13397571397125119</v>
      </c>
      <c r="J38" s="357">
        <f>AVERAGE(E38:I38)</f>
        <v>0.12153580834018077</v>
      </c>
    </row>
    <row r="39" spans="3:14" ht="15.75">
      <c r="D39" s="333" t="s">
        <v>138</v>
      </c>
      <c r="E39" s="356">
        <f>E25/E24</f>
        <v>2.3705509031903868E-2</v>
      </c>
      <c r="F39" s="356">
        <f>F25/F24</f>
        <v>8.8910336324558217E-3</v>
      </c>
      <c r="G39" s="356">
        <f>G25/G24</f>
        <v>1.6327218881401286E-2</v>
      </c>
      <c r="H39" s="356">
        <f>H25/H24</f>
        <v>3.0154798355276059E-2</v>
      </c>
      <c r="I39" s="356">
        <f>I25/I24</f>
        <v>5.7788626515615248E-2</v>
      </c>
      <c r="J39" s="357">
        <f>AVERAGE(E39:I39)</f>
        <v>2.7373437283330453E-2</v>
      </c>
    </row>
    <row r="40" spans="3:14" ht="15.75">
      <c r="D40" s="333"/>
    </row>
    <row r="41" spans="3:14" ht="15.75">
      <c r="C41" s="331" t="s">
        <v>457</v>
      </c>
      <c r="D41" s="331"/>
      <c r="E41" s="352" t="s">
        <v>116</v>
      </c>
      <c r="F41" s="352" t="s">
        <v>117</v>
      </c>
      <c r="G41" s="352" t="s">
        <v>118</v>
      </c>
      <c r="H41" s="352" t="s">
        <v>119</v>
      </c>
      <c r="I41" s="352" t="s">
        <v>120</v>
      </c>
      <c r="J41" s="331"/>
      <c r="K41" s="331"/>
      <c r="L41" s="595"/>
      <c r="M41" s="596"/>
      <c r="N41" s="596"/>
    </row>
    <row r="42" spans="3:14" ht="15.75">
      <c r="D42" s="333" t="s">
        <v>236</v>
      </c>
      <c r="E42" s="359">
        <v>6.12</v>
      </c>
      <c r="F42" s="359">
        <v>14.43</v>
      </c>
      <c r="G42" s="359">
        <v>19.12</v>
      </c>
      <c r="H42" s="359">
        <v>14.11</v>
      </c>
      <c r="I42" s="359">
        <v>12.41</v>
      </c>
    </row>
    <row r="43" spans="3:14" ht="15.75">
      <c r="D43" s="333" t="s">
        <v>237</v>
      </c>
      <c r="E43" s="359">
        <v>72</v>
      </c>
      <c r="F43" s="359">
        <v>78.5</v>
      </c>
      <c r="G43" s="359">
        <v>82</v>
      </c>
      <c r="H43" s="360">
        <v>80.5</v>
      </c>
      <c r="I43" s="359">
        <v>79</v>
      </c>
    </row>
    <row r="44" spans="3:14" ht="15.75">
      <c r="D44" s="333" t="s">
        <v>79</v>
      </c>
      <c r="E44" s="359">
        <v>6.55</v>
      </c>
      <c r="F44" s="359">
        <v>15.47</v>
      </c>
      <c r="G44" s="359">
        <v>11.07</v>
      </c>
      <c r="H44" s="359">
        <v>11.63</v>
      </c>
      <c r="I44" s="359">
        <v>6.97</v>
      </c>
    </row>
    <row r="45" spans="3:14" ht="15.75">
      <c r="D45" s="333" t="s">
        <v>458</v>
      </c>
      <c r="E45" s="359">
        <v>6.6000000000000003E-2</v>
      </c>
      <c r="F45" s="359">
        <v>6.6000000000000003E-2</v>
      </c>
      <c r="G45" s="359">
        <v>6.6000000000000003E-2</v>
      </c>
      <c r="H45" s="359">
        <v>6.6000000000000003E-2</v>
      </c>
      <c r="I45" s="359">
        <v>6.6000000000000003E-2</v>
      </c>
    </row>
    <row r="46" spans="3:14" ht="15.75">
      <c r="D46" s="333" t="s">
        <v>459</v>
      </c>
      <c r="E46" s="361">
        <v>1283</v>
      </c>
      <c r="F46" s="361">
        <v>1283</v>
      </c>
      <c r="G46" s="361">
        <v>1283</v>
      </c>
      <c r="H46" s="361">
        <v>1283</v>
      </c>
      <c r="I46" s="361">
        <v>1283</v>
      </c>
    </row>
    <row r="47" spans="3:14" ht="15.75">
      <c r="D47" s="333" t="s">
        <v>460</v>
      </c>
      <c r="E47" s="362">
        <v>1100</v>
      </c>
      <c r="F47" s="362">
        <v>1150</v>
      </c>
      <c r="G47" s="362">
        <v>1200</v>
      </c>
      <c r="H47" s="362">
        <v>1220</v>
      </c>
      <c r="I47" s="361">
        <v>1250</v>
      </c>
    </row>
    <row r="48" spans="3:14" ht="15.75">
      <c r="D48" s="333" t="s">
        <v>461</v>
      </c>
      <c r="E48" s="363">
        <v>22500</v>
      </c>
      <c r="F48" s="361">
        <v>23000</v>
      </c>
      <c r="G48" s="361">
        <v>24000</v>
      </c>
      <c r="H48" s="364">
        <v>24500</v>
      </c>
      <c r="I48" s="361">
        <v>25000</v>
      </c>
    </row>
    <row r="49" spans="3:14" ht="15.75">
      <c r="D49" s="333" t="s">
        <v>490</v>
      </c>
      <c r="E49" s="362">
        <v>20.5</v>
      </c>
      <c r="F49" s="362">
        <v>20.8</v>
      </c>
      <c r="G49" s="362">
        <v>20.3</v>
      </c>
      <c r="H49" s="362">
        <v>19.8</v>
      </c>
      <c r="I49" s="361">
        <v>19.5</v>
      </c>
    </row>
    <row r="50" spans="3:14" ht="15.75">
      <c r="D50" s="333"/>
    </row>
    <row r="51" spans="3:14" ht="15">
      <c r="C51" s="331" t="s">
        <v>141</v>
      </c>
      <c r="D51" s="331"/>
      <c r="E51" s="331"/>
      <c r="F51" s="331"/>
      <c r="G51" s="331"/>
      <c r="H51" s="331"/>
      <c r="I51" s="331"/>
      <c r="J51" s="331"/>
      <c r="K51" s="331"/>
      <c r="L51" s="331"/>
      <c r="M51" s="331"/>
      <c r="N51" s="331"/>
    </row>
    <row r="52" spans="3:14" ht="15.75">
      <c r="D52" s="333" t="s">
        <v>239</v>
      </c>
      <c r="E52" s="354">
        <v>4</v>
      </c>
    </row>
    <row r="53" spans="3:14" ht="15.75">
      <c r="D53" s="333" t="s">
        <v>143</v>
      </c>
      <c r="E53" s="354">
        <v>5</v>
      </c>
    </row>
    <row r="54" spans="3:14" ht="15.75">
      <c r="D54" s="333" t="s">
        <v>222</v>
      </c>
      <c r="E54" s="354">
        <v>5</v>
      </c>
    </row>
    <row r="55" spans="3:14" ht="15.75">
      <c r="D55" s="333" t="s">
        <v>223</v>
      </c>
      <c r="E55" s="354">
        <v>3</v>
      </c>
    </row>
    <row r="56" spans="3:14" ht="15.75">
      <c r="D56" s="333"/>
      <c r="E56" s="354"/>
    </row>
    <row r="57" spans="3:14" ht="15.75">
      <c r="C57" s="332" t="s">
        <v>462</v>
      </c>
      <c r="D57" s="332"/>
      <c r="E57" s="332"/>
      <c r="F57" s="332"/>
      <c r="G57" s="332"/>
      <c r="H57" s="332"/>
      <c r="I57" s="332"/>
      <c r="J57" s="332"/>
      <c r="K57" s="332"/>
      <c r="L57" s="332"/>
      <c r="M57" s="580" t="s">
        <v>463</v>
      </c>
      <c r="N57" s="580"/>
    </row>
    <row r="58" spans="3:14" ht="15.75">
      <c r="D58" s="333"/>
      <c r="E58" s="365"/>
      <c r="F58" s="366" t="s">
        <v>464</v>
      </c>
      <c r="G58" s="366" t="s">
        <v>9</v>
      </c>
      <c r="H58" s="366" t="s">
        <v>465</v>
      </c>
    </row>
    <row r="59" spans="3:14" ht="15.75">
      <c r="D59" s="333" t="s">
        <v>466</v>
      </c>
      <c r="E59" s="367" t="s">
        <v>467</v>
      </c>
      <c r="F59" s="368">
        <v>499.6</v>
      </c>
      <c r="G59" s="369">
        <f>$E$7</f>
        <v>237.77</v>
      </c>
      <c r="H59" s="370">
        <f>F59/G59-1</f>
        <v>1.1011902258485091</v>
      </c>
    </row>
    <row r="60" spans="3:14" ht="15.75">
      <c r="D60" s="333"/>
      <c r="E60" s="354" t="s">
        <v>438</v>
      </c>
      <c r="F60" s="359">
        <v>414.3</v>
      </c>
      <c r="G60" s="371">
        <f>$E$7</f>
        <v>237.77</v>
      </c>
      <c r="H60" s="372">
        <f>F60/G60-1</f>
        <v>0.74244017327669587</v>
      </c>
    </row>
    <row r="61" spans="3:14" ht="15.75">
      <c r="D61" s="333"/>
      <c r="E61" s="373" t="s">
        <v>468</v>
      </c>
      <c r="F61" s="374">
        <v>312.05</v>
      </c>
      <c r="G61" s="375">
        <f>$E$7</f>
        <v>237.77</v>
      </c>
      <c r="H61" s="376">
        <f>F61/G61-1</f>
        <v>0.31240274214577113</v>
      </c>
    </row>
    <row r="62" spans="3:14" ht="15.75">
      <c r="D62" s="333" t="s">
        <v>469</v>
      </c>
      <c r="E62" s="366"/>
      <c r="F62" s="366" t="s">
        <v>503</v>
      </c>
      <c r="G62" s="366" t="s">
        <v>470</v>
      </c>
      <c r="H62" s="366"/>
    </row>
    <row r="63" spans="3:14" ht="15.75">
      <c r="D63" s="333"/>
      <c r="E63" s="377" t="s">
        <v>471</v>
      </c>
      <c r="F63" s="378">
        <v>0.5</v>
      </c>
      <c r="G63" s="379">
        <v>1.2</v>
      </c>
    </row>
    <row r="64" spans="3:14" ht="15.75">
      <c r="D64" s="333"/>
      <c r="E64" s="377" t="s">
        <v>472</v>
      </c>
      <c r="F64" s="378">
        <v>7.5</v>
      </c>
      <c r="G64" s="379">
        <v>10.199999999999999</v>
      </c>
    </row>
    <row r="65" spans="2:14" ht="15.75">
      <c r="D65" s="333"/>
      <c r="E65" s="377" t="s">
        <v>473</v>
      </c>
      <c r="F65" s="378">
        <v>0.8</v>
      </c>
      <c r="G65" s="379">
        <v>1.1000000000000001</v>
      </c>
    </row>
    <row r="66" spans="2:14" ht="15.75">
      <c r="D66" s="333"/>
      <c r="E66" s="377" t="s">
        <v>95</v>
      </c>
      <c r="F66" s="378">
        <v>4</v>
      </c>
      <c r="G66" s="379">
        <v>5.9</v>
      </c>
    </row>
    <row r="67" spans="2:14" ht="15.75">
      <c r="D67" s="333"/>
      <c r="E67" s="377" t="s">
        <v>474</v>
      </c>
      <c r="F67" s="378">
        <v>6.3</v>
      </c>
      <c r="G67" s="379">
        <v>8.5</v>
      </c>
    </row>
    <row r="68" spans="2:14" ht="15.75">
      <c r="D68" s="333" t="s">
        <v>475</v>
      </c>
      <c r="E68" s="366"/>
      <c r="F68" s="366"/>
      <c r="G68" s="366"/>
      <c r="H68" s="366"/>
    </row>
    <row r="69" spans="2:14" ht="15.75">
      <c r="D69" s="380"/>
      <c r="E69" s="377" t="s">
        <v>476</v>
      </c>
      <c r="F69" s="381">
        <v>6.6000000000000003E-2</v>
      </c>
    </row>
    <row r="70" spans="2:14" ht="15.75">
      <c r="D70" s="380"/>
      <c r="E70" s="377" t="s">
        <v>492</v>
      </c>
      <c r="F70" s="381">
        <v>6.9000000000000006E-2</v>
      </c>
    </row>
    <row r="71" spans="2:14" ht="15.75">
      <c r="D71" s="382"/>
      <c r="E71" s="377" t="s">
        <v>478</v>
      </c>
      <c r="F71" s="381">
        <v>8.3400000000000002E-2</v>
      </c>
    </row>
    <row r="72" spans="2:14" ht="15">
      <c r="D72" s="383"/>
      <c r="E72" s="377" t="s">
        <v>479</v>
      </c>
      <c r="F72" s="384">
        <v>0.3</v>
      </c>
    </row>
    <row r="73" spans="2:14" ht="15">
      <c r="D73" s="383"/>
      <c r="E73" s="377" t="s">
        <v>480</v>
      </c>
      <c r="F73" s="381">
        <v>8.3299999999999999E-2</v>
      </c>
    </row>
    <row r="74" spans="2:14" ht="15">
      <c r="D74" s="383" t="s">
        <v>506</v>
      </c>
    </row>
    <row r="75" spans="2:14" ht="15.75">
      <c r="B75" s="332" t="s">
        <v>481</v>
      </c>
      <c r="C75" s="332"/>
      <c r="D75" s="332"/>
      <c r="E75" s="332"/>
      <c r="F75" s="332"/>
      <c r="G75" s="332"/>
      <c r="H75" s="332"/>
      <c r="I75" s="332"/>
      <c r="J75" s="332"/>
      <c r="K75" s="332"/>
      <c r="L75" s="580"/>
      <c r="M75" s="580"/>
      <c r="N75" s="332"/>
    </row>
    <row r="76" spans="2:14" ht="15">
      <c r="D76" s="581" t="s">
        <v>507</v>
      </c>
      <c r="E76" s="581"/>
      <c r="F76" s="581"/>
      <c r="G76" s="581"/>
      <c r="H76" s="581"/>
      <c r="I76" s="581"/>
      <c r="J76" s="581"/>
      <c r="K76" s="581"/>
      <c r="L76" s="581"/>
      <c r="M76" s="581"/>
      <c r="N76" s="581"/>
    </row>
    <row r="77" spans="2:14" ht="15">
      <c r="D77" s="581"/>
      <c r="E77" s="581"/>
      <c r="F77" s="581"/>
      <c r="G77" s="581"/>
      <c r="H77" s="581"/>
      <c r="I77" s="581"/>
      <c r="J77" s="581"/>
      <c r="K77" s="581"/>
      <c r="L77" s="581"/>
      <c r="M77" s="581"/>
      <c r="N77" s="581"/>
    </row>
    <row r="78" spans="2:14" ht="15">
      <c r="D78" s="581"/>
      <c r="E78" s="581"/>
      <c r="F78" s="581"/>
      <c r="G78" s="581"/>
      <c r="H78" s="581"/>
      <c r="I78" s="581"/>
      <c r="J78" s="581"/>
      <c r="K78" s="581"/>
      <c r="L78" s="581"/>
      <c r="M78" s="581"/>
      <c r="N78" s="581"/>
    </row>
    <row r="79" spans="2:14" ht="15">
      <c r="D79" s="581"/>
      <c r="E79" s="581"/>
      <c r="F79" s="581"/>
      <c r="G79" s="581"/>
      <c r="H79" s="581"/>
      <c r="I79" s="581"/>
      <c r="J79" s="581"/>
      <c r="K79" s="581"/>
      <c r="L79" s="581"/>
      <c r="M79" s="581"/>
      <c r="N79" s="581"/>
    </row>
    <row r="80" spans="2:14" ht="15">
      <c r="D80" s="581"/>
      <c r="E80" s="581"/>
      <c r="F80" s="581"/>
      <c r="G80" s="581"/>
      <c r="H80" s="581"/>
      <c r="I80" s="581"/>
      <c r="J80" s="581"/>
      <c r="K80" s="581"/>
      <c r="L80" s="581"/>
      <c r="M80" s="581"/>
      <c r="N80" s="581"/>
    </row>
    <row r="81" spans="4:14" ht="15">
      <c r="D81" s="581"/>
      <c r="E81" s="581"/>
      <c r="F81" s="581"/>
      <c r="G81" s="581"/>
      <c r="H81" s="581"/>
      <c r="I81" s="581"/>
      <c r="J81" s="581"/>
      <c r="K81" s="581"/>
      <c r="L81" s="581"/>
      <c r="M81" s="581"/>
      <c r="N81" s="581"/>
    </row>
    <row r="82" spans="4:14" ht="15">
      <c r="D82" s="581"/>
      <c r="E82" s="581"/>
      <c r="F82" s="581"/>
      <c r="G82" s="581"/>
      <c r="H82" s="581"/>
      <c r="I82" s="581"/>
      <c r="J82" s="581"/>
      <c r="K82" s="581"/>
      <c r="L82" s="581"/>
      <c r="M82" s="581"/>
      <c r="N82" s="581"/>
    </row>
  </sheetData>
  <mergeCells count="14">
    <mergeCell ref="L75:M75"/>
    <mergeCell ref="D76:N82"/>
    <mergeCell ref="E10:F10"/>
    <mergeCell ref="E11:F11"/>
    <mergeCell ref="E12:N20"/>
    <mergeCell ref="L22:N22"/>
    <mergeCell ref="L41:N41"/>
    <mergeCell ref="M57:N57"/>
    <mergeCell ref="E9:F9"/>
    <mergeCell ref="E4:F4"/>
    <mergeCell ref="E5:F5"/>
    <mergeCell ref="E6:F6"/>
    <mergeCell ref="E7:F7"/>
    <mergeCell ref="E8:F8"/>
  </mergeCells>
  <dataValidations count="1">
    <dataValidation type="list" allowBlank="1" showInputMessage="1" showErrorMessage="1" sqref="L4" xr:uid="{00000000-0002-0000-1300-000000000000}">
      <formula1>"Worst Case,Base Case,Best Case"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Defense &gt;</vt:lpstr>
      <vt:lpstr>Data Patterns</vt:lpstr>
      <vt:lpstr>MTAR Technologies Ltd.</vt:lpstr>
      <vt:lpstr>Bharat Electronics Ltd (BEL)</vt:lpstr>
      <vt:lpstr>HAL</vt:lpstr>
      <vt:lpstr>FMCG &gt;</vt:lpstr>
      <vt:lpstr>HUL</vt:lpstr>
      <vt:lpstr>ITC</vt:lpstr>
      <vt:lpstr>NESTLE</vt:lpstr>
      <vt:lpstr>BRITTANIA</vt:lpstr>
      <vt:lpstr>GODREJ</vt:lpstr>
      <vt:lpstr>DABUR</vt:lpstr>
      <vt:lpstr>Banking</vt:lpstr>
      <vt:lpstr>SBI</vt:lpstr>
      <vt:lpstr>ICICI Bank</vt:lpstr>
      <vt:lpstr>Kotak</vt:lpstr>
      <vt:lpstr>HDFC</vt:lpstr>
      <vt:lpstr>Axis</vt:lpstr>
      <vt:lpstr>Bank of Baroda</vt:lpstr>
      <vt:lpstr>Oil And Gas &gt;</vt:lpstr>
      <vt:lpstr>Gail</vt:lpstr>
      <vt:lpstr>HPCL</vt:lpstr>
      <vt:lpstr>BPCL</vt:lpstr>
      <vt:lpstr>ONGC</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kunal bagauli</dc:creator>
  <cp:keywords/>
  <dc:description/>
  <cp:lastModifiedBy>Ankan Dutta</cp:lastModifiedBy>
  <dcterms:created xsi:type="dcterms:W3CDTF">2025-06-09T17:36:08Z</dcterms:created>
  <dcterms:modified xsi:type="dcterms:W3CDTF">2026-08-25T15:13:37Z</dcterms:modified>
  <cp:category/>
</cp:coreProperties>
</file>